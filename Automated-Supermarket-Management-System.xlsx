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showInkAnnotation="0" hidePivotFieldList="1"/>
  <xr:revisionPtr revIDLastSave="0" documentId="8_{D54119D1-2A8F-4B7D-B9AB-71BBC2BA3944}" xr6:coauthVersionLast="47" xr6:coauthVersionMax="47" xr10:uidLastSave="{00000000-0000-0000-0000-000000000000}"/>
  <bookViews>
    <workbookView xWindow="0" yWindow="0" windowWidth="0" windowHeight="0" firstSheet="3" xr2:uid="{00000000-000D-0000-FFFF-FFFF00000000}"/>
  </bookViews>
  <sheets>
    <sheet name="Pricelist" sheetId="5" r:id="rId1"/>
    <sheet name="Raw Table" sheetId="1" r:id="rId2"/>
    <sheet name="Sheet2" sheetId="4" state="hidden" r:id="rId3"/>
    <sheet name="Sales dashboard " sheetId="3" r:id="rId4"/>
  </sheets>
  <definedNames>
    <definedName name="Slicer_Status">#N/A</definedName>
  </definedNames>
  <calcPr calcId="191028"/>
  <pivotCaches>
    <pivotCache cacheId="1720" r:id="rId5"/>
    <pivotCache cacheId="1721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5" l="1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H2" i="1"/>
  <c r="F2" i="1"/>
  <c r="G2" i="1"/>
  <c r="E36" i="1"/>
  <c r="F36" i="1"/>
  <c r="G36" i="1"/>
  <c r="H36" i="1"/>
  <c r="I36" i="1"/>
  <c r="J36" i="1"/>
  <c r="J35" i="1"/>
  <c r="E35" i="1"/>
  <c r="F35" i="1"/>
  <c r="G35" i="1"/>
  <c r="H35" i="1"/>
  <c r="I35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E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E34" i="1"/>
  <c r="I34" i="1"/>
  <c r="F34" i="1"/>
  <c r="G34" i="1"/>
  <c r="E33" i="1"/>
  <c r="I33" i="1"/>
  <c r="F33" i="1"/>
  <c r="G33" i="1"/>
  <c r="E32" i="1"/>
  <c r="I32" i="1"/>
  <c r="F32" i="1"/>
  <c r="G32" i="1"/>
  <c r="E31" i="1"/>
  <c r="I31" i="1"/>
  <c r="F31" i="1"/>
  <c r="G31" i="1"/>
  <c r="E3" i="1"/>
  <c r="I3" i="1"/>
  <c r="E4" i="1"/>
  <c r="I4" i="1"/>
  <c r="E5" i="1"/>
  <c r="I5" i="1"/>
  <c r="E6" i="1"/>
  <c r="I6" i="1"/>
  <c r="E7" i="1"/>
  <c r="I7" i="1"/>
  <c r="E8" i="1"/>
  <c r="I8" i="1"/>
  <c r="E9" i="1"/>
  <c r="I9" i="1"/>
  <c r="E10" i="1"/>
  <c r="I10" i="1"/>
  <c r="E11" i="1"/>
  <c r="I11" i="1"/>
  <c r="E12" i="1"/>
  <c r="I12" i="1"/>
  <c r="E13" i="1"/>
  <c r="I13" i="1"/>
  <c r="E14" i="1"/>
  <c r="I14" i="1"/>
  <c r="E15" i="1"/>
  <c r="I15" i="1"/>
  <c r="E16" i="1"/>
  <c r="I16" i="1"/>
  <c r="E17" i="1"/>
  <c r="I17" i="1"/>
  <c r="E18" i="1"/>
  <c r="I18" i="1"/>
  <c r="E19" i="1"/>
  <c r="I19" i="1"/>
  <c r="E20" i="1"/>
  <c r="I20" i="1"/>
  <c r="E21" i="1"/>
  <c r="I21" i="1"/>
  <c r="E22" i="1"/>
  <c r="I22" i="1"/>
  <c r="E23" i="1"/>
  <c r="I23" i="1"/>
  <c r="E24" i="1"/>
  <c r="I24" i="1"/>
  <c r="E25" i="1"/>
  <c r="I25" i="1"/>
  <c r="E26" i="1"/>
  <c r="I26" i="1"/>
  <c r="E27" i="1"/>
  <c r="I27" i="1"/>
  <c r="E28" i="1"/>
  <c r="I28" i="1"/>
  <c r="E29" i="1"/>
  <c r="I29" i="1"/>
  <c r="E30" i="1"/>
  <c r="I30" i="1"/>
  <c r="F30" i="1"/>
  <c r="G30" i="1"/>
  <c r="F29" i="1"/>
  <c r="G29" i="1"/>
  <c r="F28" i="1"/>
  <c r="G28" i="1"/>
  <c r="F3" i="1"/>
  <c r="G3" i="1"/>
  <c r="F4" i="1"/>
  <c r="G4" i="1"/>
  <c r="F5" i="1"/>
  <c r="G5" i="1"/>
  <c r="F6" i="1"/>
  <c r="G6" i="1"/>
  <c r="F7" i="1"/>
  <c r="G7" i="1"/>
  <c r="F8" i="1"/>
  <c r="G8" i="1"/>
  <c r="F9" i="1"/>
  <c r="G9" i="1"/>
  <c r="F10" i="1"/>
  <c r="G10" i="1"/>
  <c r="F11" i="1"/>
  <c r="G11" i="1"/>
  <c r="F12" i="1"/>
  <c r="G12" i="1"/>
  <c r="F13" i="1"/>
  <c r="G13" i="1"/>
  <c r="F14" i="1"/>
  <c r="G14" i="1"/>
  <c r="F15" i="1"/>
  <c r="G15" i="1"/>
  <c r="F16" i="1"/>
  <c r="G16" i="1"/>
  <c r="F17" i="1"/>
  <c r="G17" i="1"/>
  <c r="F18" i="1"/>
  <c r="G18" i="1"/>
  <c r="F19" i="1"/>
  <c r="G19" i="1"/>
  <c r="F20" i="1"/>
  <c r="G20" i="1"/>
  <c r="F21" i="1"/>
  <c r="G21" i="1"/>
  <c r="F22" i="1"/>
  <c r="G22" i="1"/>
  <c r="F23" i="1"/>
  <c r="G23" i="1"/>
  <c r="F24" i="1"/>
  <c r="G24" i="1"/>
  <c r="F25" i="1"/>
  <c r="G25" i="1"/>
  <c r="F26" i="1"/>
  <c r="G26" i="1"/>
  <c r="F27" i="1"/>
  <c r="G27" i="1"/>
  <c r="I2" i="1"/>
</calcChain>
</file>

<file path=xl/sharedStrings.xml><?xml version="1.0" encoding="utf-8"?>
<sst xmlns="http://schemas.openxmlformats.org/spreadsheetml/2006/main" count="174" uniqueCount="55">
  <si>
    <t>Item</t>
  </si>
  <si>
    <t>Selling price</t>
  </si>
  <si>
    <t>Buying  Price</t>
  </si>
  <si>
    <t>Opening Stock</t>
  </si>
  <si>
    <t>Current Stock</t>
  </si>
  <si>
    <t>Jollof rice</t>
  </si>
  <si>
    <t>Zobo</t>
  </si>
  <si>
    <t>fan</t>
  </si>
  <si>
    <t>pepsi</t>
  </si>
  <si>
    <t>chapman</t>
  </si>
  <si>
    <t>Egunsi</t>
  </si>
  <si>
    <t>coke</t>
  </si>
  <si>
    <t>fried chicken</t>
  </si>
  <si>
    <t>TV</t>
  </si>
  <si>
    <t>charger</t>
  </si>
  <si>
    <t>glass</t>
  </si>
  <si>
    <t>milo</t>
  </si>
  <si>
    <t>indomine</t>
  </si>
  <si>
    <t>egg</t>
  </si>
  <si>
    <t>wine</t>
  </si>
  <si>
    <t>viju</t>
  </si>
  <si>
    <t>biscuit</t>
  </si>
  <si>
    <t>book</t>
  </si>
  <si>
    <t>pen</t>
  </si>
  <si>
    <t>Date</t>
  </si>
  <si>
    <t xml:space="preserve">Category </t>
  </si>
  <si>
    <t>Qty Sold</t>
  </si>
  <si>
    <t>Selling Price</t>
  </si>
  <si>
    <t>Total Rev</t>
  </si>
  <si>
    <t>Status</t>
  </si>
  <si>
    <t>Buying Price</t>
  </si>
  <si>
    <t>Total Profit</t>
  </si>
  <si>
    <t xml:space="preserve">Stock Remaining </t>
  </si>
  <si>
    <t>food</t>
  </si>
  <si>
    <t>drink</t>
  </si>
  <si>
    <t>Fan</t>
  </si>
  <si>
    <t>electronics</t>
  </si>
  <si>
    <t>zobo</t>
  </si>
  <si>
    <t>13/7/2026</t>
  </si>
  <si>
    <t>14/7/2026</t>
  </si>
  <si>
    <t>15/7/2026</t>
  </si>
  <si>
    <t>15//7/2026</t>
  </si>
  <si>
    <t>16/7/2026</t>
  </si>
  <si>
    <t>17/7/2026</t>
  </si>
  <si>
    <t>18/7/2026</t>
  </si>
  <si>
    <t>Column1</t>
  </si>
  <si>
    <t>(Multiple Items)</t>
  </si>
  <si>
    <t>Values</t>
  </si>
  <si>
    <t>1/7/2026</t>
  </si>
  <si>
    <t>2/72026</t>
  </si>
  <si>
    <t>Total Sum of Total Rev</t>
  </si>
  <si>
    <t>Total Sum of Total Profit</t>
  </si>
  <si>
    <t>Sum of Total Rev</t>
  </si>
  <si>
    <t>Sum of Total Profit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</si>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</sst>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12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164" fontId="0" fillId="0" borderId="0" xfId="0" applyNumberFormat="1"/>
    <xf numFmtId="164" fontId="0" fillId="0" borderId="0" xfId="0" applyNumberFormat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pivotButton="1" applyNumberFormat="1"/>
    <xf numFmtId="164" fontId="0" fillId="0" borderId="0" xfId="0" applyNumberFormat="1" applyAlignment="1">
      <alignment wrapText="1"/>
    </xf>
    <xf numFmtId="0" fontId="2" fillId="2" borderId="0" xfId="0" applyFont="1" applyFill="1"/>
    <xf numFmtId="0" fontId="2" fillId="2" borderId="10" xfId="0" applyFont="1" applyFill="1" applyBorder="1"/>
    <xf numFmtId="0" fontId="2" fillId="2" borderId="0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164" fontId="2" fillId="2" borderId="0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2" borderId="11" xfId="0" applyFont="1" applyFill="1" applyBorder="1"/>
    <xf numFmtId="0" fontId="0" fillId="0" borderId="0" xfId="0" applyNumberFormat="1" applyAlignment="1">
      <alignment wrapText="1"/>
    </xf>
  </cellXfs>
  <cellStyles count="1">
    <cellStyle name="Normal" xfId="0" builtinId="0"/>
  </cellStyles>
  <dxfs count="15">
    <dxf>
      <numFmt numFmtId="164" formatCode="&quot;$&quot;#,##0.00"/>
    </dxf>
    <dxf>
      <numFmt numFmtId="164" formatCode="&quot;$&quot;#,##0.00"/>
    </dxf>
    <dxf>
      <numFmt numFmtId="0" formatCode="General"/>
    </dxf>
    <dxf>
      <numFmt numFmtId="0" formatCode="General"/>
    </dxf>
    <dxf>
      <numFmt numFmtId="164" formatCode="&quot;$&quot;#,##0.00"/>
    </dxf>
    <dxf>
      <numFmt numFmtId="164" formatCode="&quot;$&quot;#,##0.00"/>
    </dxf>
    <dxf>
      <numFmt numFmtId="19" formatCode="m/d/yyyy"/>
    </dxf>
    <dxf>
      <border outline="0">
        <top style="thin">
          <color theme="4" tint="0.39997558519241921"/>
        </top>
      </border>
    </dxf>
    <dxf>
      <numFmt numFmtId="0" formatCode="General"/>
    </dxf>
    <dxf>
      <numFmt numFmtId="164" formatCode="&quot;$&quot;#,##0.00"/>
    </dxf>
    <dxf>
      <numFmt numFmtId="164" formatCode="&quot;$&quot;#,##0.00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microsoft.com/office/2022/11/relationships/FeaturePropertyBag" Target="featurePropertyBag/featurePropertyBag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23</xdr:row>
      <xdr:rowOff>57150</xdr:rowOff>
    </xdr:from>
    <xdr:to>
      <xdr:col>1</xdr:col>
      <xdr:colOff>1009650</xdr:colOff>
      <xdr:row>37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Status">
              <a:extLst>
                <a:ext uri="{FF2B5EF4-FFF2-40B4-BE49-F238E27FC236}">
                  <a16:creationId xmlns:a16="http://schemas.microsoft.com/office/drawing/2014/main" id="{F9EE2AAF-79AA-B1B4-2D62-F1B1C4E833D5}"/>
                </a:ext>
                <a:ext uri="{147F2762-F138-4A5C-976F-8EAC2B608ADB}">
                  <a16:predDERef xmlns:a16="http://schemas.microsoft.com/office/drawing/2014/main" pred="{4AC4AC2D-34D0-E6F3-4506-5313151C0AC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44386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96.489703356485" createdVersion="8" refreshedVersion="8" minRefreshableVersion="3" recordCount="1" xr:uid="{4654207F-8EE4-4E62-A01F-AB0FCF26D18A}">
  <cacheSource type="worksheet">
    <worksheetSource ref="A1:G1" sheet="Raw Table"/>
  </cacheSource>
  <cacheFields count="7">
    <cacheField name="Date" numFmtId="0">
      <sharedItems containsNonDate="0" containsString="0" containsBlank="1"/>
    </cacheField>
    <cacheField name="Item" numFmtId="0">
      <sharedItems containsNonDate="0" containsString="0" containsBlank="1"/>
    </cacheField>
    <cacheField name="Category " numFmtId="0">
      <sharedItems containsNonDate="0" containsString="0" containsBlank="1"/>
    </cacheField>
    <cacheField name="Qty Sold" numFmtId="0">
      <sharedItems containsNonDate="0" containsString="0" containsBlank="1"/>
    </cacheField>
    <cacheField name="Unit Price#" numFmtId="164">
      <sharedItems containsNonDate="0" containsString="0" containsBlank="1"/>
    </cacheField>
    <cacheField name="Total Rev" numFmtId="164">
      <sharedItems containsNonDate="0" containsString="0" containsBlank="1"/>
    </cacheField>
    <cacheField name="Statu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98.824779745373" createdVersion="8" refreshedVersion="8" minRefreshableVersion="3" recordCount="57" xr:uid="{78E4C1A5-E469-41A2-8E7F-5365A170F1B4}">
  <cacheSource type="worksheet">
    <worksheetSource ref="A1:I100" sheet="Raw Table"/>
  </cacheSource>
  <cacheFields count="9">
    <cacheField name="Date" numFmtId="0">
      <sharedItems containsDate="1" containsBlank="1" containsMixedTypes="1" minDate="2026-01-07T00:00:00" maxDate="2026-12-08T00:00:00" count="21">
        <d v="2026-01-07T00:00:00"/>
        <d v="2026-02-07T00:00:00"/>
        <d v="2026-03-07T00:00:00"/>
        <d v="2026-04-07T00:00:00"/>
        <d v="2026-05-07T00:00:00"/>
        <d v="2026-06-07T00:00:00"/>
        <d v="2026-07-07T00:00:00"/>
        <d v="2026-08-07T00:00:00"/>
        <d v="2026-09-07T00:00:00"/>
        <d v="2026-10-07T00:00:00"/>
        <d v="2026-11-07T00:00:00"/>
        <d v="2026-12-07T00:00:00"/>
        <s v="13/7/2026"/>
        <s v="14/7/2026"/>
        <s v="15/7/2026"/>
        <s v="15//7/2026"/>
        <s v="16/7/2026"/>
        <s v="17/7/2026"/>
        <s v="18/7/2026"/>
        <m/>
        <s v="Column1"/>
      </sharedItems>
    </cacheField>
    <cacheField name="Item" numFmtId="0">
      <sharedItems containsBlank="1"/>
    </cacheField>
    <cacheField name="Category " numFmtId="0">
      <sharedItems containsBlank="1" count="4">
        <s v="food"/>
        <s v="drink"/>
        <s v="electronics"/>
        <m/>
      </sharedItems>
    </cacheField>
    <cacheField name="Qty Sold" numFmtId="0">
      <sharedItems containsString="0" containsBlank="1" containsNumber="1" containsInteger="1" minValue="3" maxValue="150"/>
    </cacheField>
    <cacheField name="Selling Price" numFmtId="164">
      <sharedItems containsString="0" containsBlank="1" containsNumber="1" containsInteger="1" minValue="200" maxValue="30000"/>
    </cacheField>
    <cacheField name="Total Rev" numFmtId="164">
      <sharedItems containsString="0" containsBlank="1" containsNumber="1" containsInteger="1" minValue="3000" maxValue="1350000"/>
    </cacheField>
    <cacheField name="Status" numFmtId="0">
      <sharedItems containsBlank="1" count="3">
        <s v="Good"/>
        <s v="Low"/>
        <m/>
      </sharedItems>
    </cacheField>
    <cacheField name="Buying Price" numFmtId="0">
      <sharedItems containsString="0" containsBlank="1" containsNumber="1" containsInteger="1" minValue="150" maxValue="25000"/>
    </cacheField>
    <cacheField name="Total Profit" numFmtId="0">
      <sharedItems containsString="0" containsBlank="1" containsNumber="1" containsInteger="1" minValue="500" maxValue="225000"/>
    </cacheField>
  </cacheFields>
  <extLst>
    <ext xmlns:x14="http://schemas.microsoft.com/office/spreadsheetml/2009/9/main" uri="{725AE2AE-9491-48be-B2B4-4EB974FC3084}">
      <x14:pivotCacheDefinition pivotCacheId="177820295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x v="0"/>
    <s v="Jollof rice"/>
    <x v="0"/>
    <n v="40"/>
    <n v="1300"/>
    <n v="52000"/>
    <x v="0"/>
    <n v="800"/>
    <n v="20000"/>
  </r>
  <r>
    <x v="0"/>
    <s v="pepsi"/>
    <x v="1"/>
    <n v="25"/>
    <n v="400"/>
    <n v="10000"/>
    <x v="1"/>
    <n v="300"/>
    <n v="2500"/>
  </r>
  <r>
    <x v="1"/>
    <s v="fried chicken"/>
    <x v="0"/>
    <n v="30"/>
    <n v="2000"/>
    <n v="60000"/>
    <x v="0"/>
    <n v="1800"/>
    <n v="6000"/>
  </r>
  <r>
    <x v="1"/>
    <s v="chapman"/>
    <x v="1"/>
    <n v="20"/>
    <n v="700"/>
    <n v="14000"/>
    <x v="1"/>
    <n v="600"/>
    <n v="2000"/>
  </r>
  <r>
    <x v="2"/>
    <s v="Jollof rice"/>
    <x v="0"/>
    <n v="55"/>
    <n v="1300"/>
    <n v="71500"/>
    <x v="0"/>
    <n v="800"/>
    <n v="27500"/>
  </r>
  <r>
    <x v="2"/>
    <s v="Zobo"/>
    <x v="1"/>
    <n v="35"/>
    <n v="500"/>
    <n v="17500"/>
    <x v="1"/>
    <n v="300"/>
    <n v="7000"/>
  </r>
  <r>
    <x v="3"/>
    <s v="Egunsi"/>
    <x v="0"/>
    <n v="22"/>
    <n v="2500"/>
    <n v="55000"/>
    <x v="0"/>
    <n v="2000"/>
    <n v="11000"/>
  </r>
  <r>
    <x v="3"/>
    <s v="pepsi"/>
    <x v="1"/>
    <n v="40"/>
    <n v="400"/>
    <n v="16000"/>
    <x v="1"/>
    <n v="300"/>
    <n v="4000"/>
  </r>
  <r>
    <x v="4"/>
    <s v="fried chicken"/>
    <x v="0"/>
    <n v="45"/>
    <n v="2000"/>
    <n v="90000"/>
    <x v="0"/>
    <n v="1800"/>
    <n v="9000"/>
  </r>
  <r>
    <x v="4"/>
    <s v="chapman"/>
    <x v="1"/>
    <n v="28"/>
    <n v="700"/>
    <n v="19600"/>
    <x v="1"/>
    <n v="600"/>
    <n v="2800"/>
  </r>
  <r>
    <x v="5"/>
    <s v="pepsi"/>
    <x v="1"/>
    <n v="100"/>
    <n v="400"/>
    <n v="40000"/>
    <x v="0"/>
    <n v="300"/>
    <n v="10000"/>
  </r>
  <r>
    <x v="5"/>
    <s v="Egunsi"/>
    <x v="0"/>
    <n v="50"/>
    <n v="2500"/>
    <n v="125000"/>
    <x v="0"/>
    <n v="2000"/>
    <n v="25000"/>
  </r>
  <r>
    <x v="6"/>
    <s v="Fan"/>
    <x v="2"/>
    <n v="3"/>
    <n v="5000"/>
    <n v="15000"/>
    <x v="1"/>
    <n v="4000"/>
    <n v="3000"/>
  </r>
  <r>
    <x v="6"/>
    <s v="TV"/>
    <x v="2"/>
    <n v="5"/>
    <n v="30000"/>
    <n v="150000"/>
    <x v="0"/>
    <n v="25000"/>
    <n v="25000"/>
  </r>
  <r>
    <x v="7"/>
    <s v="pepsi"/>
    <x v="1"/>
    <n v="45"/>
    <n v="400"/>
    <n v="18000"/>
    <x v="1"/>
    <n v="300"/>
    <n v="4500"/>
  </r>
  <r>
    <x v="7"/>
    <s v="Zobo"/>
    <x v="1"/>
    <n v="25"/>
    <n v="500"/>
    <n v="12500"/>
    <x v="1"/>
    <n v="300"/>
    <n v="5000"/>
  </r>
  <r>
    <x v="8"/>
    <s v="Egunsi"/>
    <x v="0"/>
    <n v="20"/>
    <n v="2500"/>
    <n v="50000"/>
    <x v="0"/>
    <n v="2000"/>
    <n v="10000"/>
  </r>
  <r>
    <x v="8"/>
    <s v="coke"/>
    <x v="1"/>
    <n v="5"/>
    <n v="600"/>
    <n v="3000"/>
    <x v="1"/>
    <n v="500"/>
    <n v="500"/>
  </r>
  <r>
    <x v="9"/>
    <s v="chapman"/>
    <x v="1"/>
    <n v="7"/>
    <n v="700"/>
    <n v="4900"/>
    <x v="1"/>
    <n v="600"/>
    <n v="700"/>
  </r>
  <r>
    <x v="9"/>
    <s v="Fan"/>
    <x v="2"/>
    <n v="6"/>
    <n v="5000"/>
    <n v="30000"/>
    <x v="0"/>
    <n v="4000"/>
    <n v="6000"/>
  </r>
  <r>
    <x v="10"/>
    <s v="pepsi"/>
    <x v="1"/>
    <n v="45"/>
    <n v="400"/>
    <n v="18000"/>
    <x v="1"/>
    <n v="300"/>
    <n v="4500"/>
  </r>
  <r>
    <x v="10"/>
    <s v="Egunsi"/>
    <x v="0"/>
    <n v="11"/>
    <n v="2500"/>
    <n v="27500"/>
    <x v="0"/>
    <n v="2000"/>
    <n v="5500"/>
  </r>
  <r>
    <x v="11"/>
    <s v="Zobo"/>
    <x v="1"/>
    <n v="64"/>
    <n v="500"/>
    <n v="32000"/>
    <x v="0"/>
    <n v="300"/>
    <n v="12800"/>
  </r>
  <r>
    <x v="11"/>
    <s v="fried chicken"/>
    <x v="0"/>
    <n v="34"/>
    <n v="2000"/>
    <n v="68000"/>
    <x v="0"/>
    <n v="1800"/>
    <n v="6800"/>
  </r>
  <r>
    <x v="12"/>
    <s v="Jollof rice"/>
    <x v="0"/>
    <n v="23"/>
    <n v="1300"/>
    <n v="29900"/>
    <x v="0"/>
    <n v="800"/>
    <n v="11500"/>
  </r>
  <r>
    <x v="13"/>
    <s v="Zobo"/>
    <x v="1"/>
    <n v="89"/>
    <n v="500"/>
    <n v="44500"/>
    <x v="0"/>
    <n v="300"/>
    <n v="17800"/>
  </r>
  <r>
    <x v="14"/>
    <s v="TV"/>
    <x v="2"/>
    <n v="45"/>
    <n v="30000"/>
    <n v="1350000"/>
    <x v="0"/>
    <n v="25000"/>
    <n v="225000"/>
  </r>
  <r>
    <x v="14"/>
    <s v="Egunsi"/>
    <x v="0"/>
    <n v="56"/>
    <n v="2500"/>
    <n v="140000"/>
    <x v="0"/>
    <n v="2000"/>
    <n v="28000"/>
  </r>
  <r>
    <x v="15"/>
    <s v="charger"/>
    <x v="1"/>
    <n v="15"/>
    <n v="1700"/>
    <n v="25500"/>
    <x v="0"/>
    <n v="1500"/>
    <n v="3000"/>
  </r>
  <r>
    <x v="16"/>
    <s v="wine"/>
    <x v="1"/>
    <n v="8"/>
    <n v="1200"/>
    <n v="9600"/>
    <x v="1"/>
    <n v="1000"/>
    <n v="1600"/>
  </r>
  <r>
    <x v="16"/>
    <s v="egg"/>
    <x v="0"/>
    <n v="100"/>
    <n v="200"/>
    <n v="20000"/>
    <x v="0"/>
    <n v="150"/>
    <n v="5000"/>
  </r>
  <r>
    <x v="17"/>
    <s v="milo"/>
    <x v="1"/>
    <n v="150"/>
    <n v="300"/>
    <n v="45000"/>
    <x v="0"/>
    <n v="250"/>
    <n v="7500"/>
  </r>
  <r>
    <x v="18"/>
    <s v="biscuit"/>
    <x v="0"/>
    <n v="67"/>
    <n v="245"/>
    <n v="16415"/>
    <x v="1"/>
    <n v="200"/>
    <n v="3015"/>
  </r>
  <r>
    <x v="19"/>
    <m/>
    <x v="3"/>
    <m/>
    <m/>
    <m/>
    <x v="2"/>
    <m/>
    <m/>
  </r>
  <r>
    <x v="19"/>
    <m/>
    <x v="3"/>
    <m/>
    <m/>
    <m/>
    <x v="2"/>
    <m/>
    <m/>
  </r>
  <r>
    <x v="19"/>
    <m/>
    <x v="3"/>
    <m/>
    <m/>
    <m/>
    <x v="2"/>
    <m/>
    <m/>
  </r>
  <r>
    <x v="19"/>
    <m/>
    <x v="3"/>
    <m/>
    <m/>
    <m/>
    <x v="2"/>
    <m/>
    <m/>
  </r>
  <r>
    <x v="19"/>
    <m/>
    <x v="3"/>
    <m/>
    <m/>
    <m/>
    <x v="2"/>
    <m/>
    <m/>
  </r>
  <r>
    <x v="19"/>
    <m/>
    <x v="3"/>
    <m/>
    <m/>
    <m/>
    <x v="2"/>
    <m/>
    <m/>
  </r>
  <r>
    <x v="19"/>
    <m/>
    <x v="3"/>
    <m/>
    <m/>
    <m/>
    <x v="2"/>
    <m/>
    <m/>
  </r>
  <r>
    <x v="19"/>
    <m/>
    <x v="3"/>
    <m/>
    <m/>
    <m/>
    <x v="2"/>
    <m/>
    <m/>
  </r>
  <r>
    <x v="19"/>
    <m/>
    <x v="3"/>
    <m/>
    <m/>
    <m/>
    <x v="2"/>
    <m/>
    <m/>
  </r>
  <r>
    <x v="19"/>
    <m/>
    <x v="3"/>
    <m/>
    <m/>
    <m/>
    <x v="2"/>
    <m/>
    <m/>
  </r>
  <r>
    <x v="19"/>
    <m/>
    <x v="3"/>
    <m/>
    <m/>
    <m/>
    <x v="2"/>
    <m/>
    <m/>
  </r>
  <r>
    <x v="19"/>
    <m/>
    <x v="3"/>
    <m/>
    <m/>
    <m/>
    <x v="2"/>
    <m/>
    <m/>
  </r>
  <r>
    <x v="19"/>
    <m/>
    <x v="3"/>
    <m/>
    <m/>
    <m/>
    <x v="2"/>
    <m/>
    <m/>
  </r>
  <r>
    <x v="19"/>
    <m/>
    <x v="3"/>
    <m/>
    <m/>
    <m/>
    <x v="2"/>
    <m/>
    <m/>
  </r>
  <r>
    <x v="19"/>
    <m/>
    <x v="3"/>
    <m/>
    <m/>
    <m/>
    <x v="2"/>
    <m/>
    <m/>
  </r>
  <r>
    <x v="19"/>
    <m/>
    <x v="3"/>
    <m/>
    <m/>
    <m/>
    <x v="2"/>
    <m/>
    <m/>
  </r>
  <r>
    <x v="19"/>
    <m/>
    <x v="3"/>
    <m/>
    <m/>
    <m/>
    <x v="2"/>
    <m/>
    <m/>
  </r>
  <r>
    <x v="19"/>
    <m/>
    <x v="3"/>
    <m/>
    <m/>
    <m/>
    <x v="2"/>
    <m/>
    <m/>
  </r>
  <r>
    <x v="19"/>
    <m/>
    <x v="3"/>
    <m/>
    <m/>
    <m/>
    <x v="2"/>
    <m/>
    <m/>
  </r>
  <r>
    <x v="19"/>
    <m/>
    <x v="3"/>
    <m/>
    <m/>
    <m/>
    <x v="2"/>
    <m/>
    <m/>
  </r>
  <r>
    <x v="19"/>
    <m/>
    <x v="3"/>
    <m/>
    <m/>
    <m/>
    <x v="2"/>
    <m/>
    <m/>
  </r>
  <r>
    <x v="19"/>
    <m/>
    <x v="3"/>
    <m/>
    <m/>
    <m/>
    <x v="2"/>
    <m/>
    <m/>
  </r>
  <r>
    <x v="20"/>
    <m/>
    <x v="3"/>
    <m/>
    <m/>
    <m/>
    <x v="2"/>
    <m/>
    <m/>
  </r>
  <r>
    <x v="19"/>
    <m/>
    <x v="3"/>
    <m/>
    <m/>
    <m/>
    <x v="2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CC5838-7722-46EC-BC0A-0B92E7F70C30}" name="PivotTable1" cacheId="17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N12:P29" firstHeaderRow="1" firstDataRow="1" firstDataCol="0"/>
  <pivotFields count="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4C946D-3589-40A1-A948-A2778A114EC1}" name="PivotTable2" cacheId="17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1">
  <location ref="A3:AO9" firstHeaderRow="1" firstDataRow="3" firstDataCol="1" rowPageCount="1" colPageCount="1"/>
  <pivotFields count="9">
    <pivotField axis="axisCol" compact="0" outline="0" showAll="0">
      <items count="22">
        <item n="1/7/2026" x="1"/>
        <item n="2/72026"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compact="0" outline="0" showAll="0"/>
    <pivotField axis="axisRow" compact="0" outline="0" showAll="0" insertBlankRow="1">
      <items count="5">
        <item x="1"/>
        <item x="0"/>
        <item x="2"/>
        <item x="3"/>
        <item t="default"/>
      </items>
    </pivotField>
    <pivotField compact="0" outline="0" showAll="0"/>
    <pivotField compact="0" numFmtId="164" outline="0" showAll="0"/>
    <pivotField dataField="1" compact="0" outline="0" showAll="0"/>
    <pivotField axis="axisPage" compact="0" outline="0" multipleItemSelectionAllowed="1" showAll="0">
      <items count="4">
        <item x="0"/>
        <item x="1"/>
        <item h="1" x="2"/>
        <item t="default"/>
      </items>
    </pivotField>
    <pivotField compact="0" outline="0" showAll="0"/>
    <pivotField dataField="1" compact="0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2">
    <field x="0"/>
    <field x="-2"/>
  </colFields>
  <colItems count="4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>
      <x v="6"/>
      <x/>
    </i>
    <i r="1" i="1">
      <x v="1"/>
    </i>
    <i>
      <x v="7"/>
      <x/>
    </i>
    <i r="1" i="1">
      <x v="1"/>
    </i>
    <i>
      <x v="8"/>
      <x/>
    </i>
    <i r="1" i="1">
      <x v="1"/>
    </i>
    <i>
      <x v="9"/>
      <x/>
    </i>
    <i r="1" i="1">
      <x v="1"/>
    </i>
    <i>
      <x v="10"/>
      <x/>
    </i>
    <i r="1" i="1">
      <x v="1"/>
    </i>
    <i>
      <x v="11"/>
      <x/>
    </i>
    <i r="1" i="1">
      <x v="1"/>
    </i>
    <i>
      <x v="12"/>
      <x/>
    </i>
    <i r="1" i="1">
      <x v="1"/>
    </i>
    <i>
      <x v="13"/>
      <x/>
    </i>
    <i r="1" i="1">
      <x v="1"/>
    </i>
    <i>
      <x v="14"/>
      <x/>
    </i>
    <i r="1" i="1">
      <x v="1"/>
    </i>
    <i>
      <x v="15"/>
      <x/>
    </i>
    <i r="1" i="1">
      <x v="1"/>
    </i>
    <i>
      <x v="16"/>
      <x/>
    </i>
    <i r="1" i="1">
      <x v="1"/>
    </i>
    <i>
      <x v="17"/>
      <x/>
    </i>
    <i r="1" i="1">
      <x v="1"/>
    </i>
    <i>
      <x v="18"/>
      <x/>
    </i>
    <i r="1" i="1">
      <x v="1"/>
    </i>
    <i t="grand">
      <x/>
    </i>
    <i t="grand" i="1">
      <x/>
    </i>
  </colItems>
  <pageFields count="1">
    <pageField fld="6" hier="-1"/>
  </pageFields>
  <dataFields count="2">
    <dataField name="Sum of Total Rev" fld="5" baseField="0" baseItem="0" numFmtId="164"/>
    <dataField name="Sum of Total Profit" fld="8" baseField="0" baseItem="0"/>
  </dataFields>
  <formats count="4">
    <format dxfId="11">
      <pivotArea outline="0" fieldPosition="0">
        <references count="1">
          <reference field="0" count="1" selected="0">
            <x v="1"/>
          </reference>
        </references>
      </pivotArea>
    </format>
    <format dxfId="12">
      <pivotArea field="0" type="button" dataOnly="0" labelOnly="1" outline="0" axis="axisCol" fieldPosition="0"/>
    </format>
    <format dxfId="13">
      <pivotArea dataOnly="0" labelOnly="1" outline="0" fieldPosition="0">
        <references count="1">
          <reference field="0" count="1">
            <x v="1"/>
          </reference>
        </references>
      </pivotArea>
    </format>
    <format dxfId="14">
      <pivotArea outline="0" collapsedLevelsAreSubtotals="1" fieldPosition="0"/>
    </format>
  </formats>
  <chartFormats count="10"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tatus" xr10:uid="{11EEC974-B978-4163-8C56-127E4DA1818A}" sourceName="Status">
  <pivotTables>
    <pivotTable tabId="3" name="PivotTable2"/>
  </pivotTables>
  <data>
    <tabular pivotCacheId="1778202951">
      <items count="3">
        <i x="0" s="1"/>
        <i x="1" s="1"/>
        <i x="2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tatus" xr10:uid="{06B07FD9-A23A-45B5-B511-287A9F8FF254}" cache="Slicer_Status" caption="Status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CB0F1F-7CF1-45AF-927E-2936FCDD528F}" name="Table2" displayName="Table2" ref="A1:E20" totalsRowShown="0">
  <autoFilter ref="A1:E20" xr:uid="{CDCB0F1F-7CF1-45AF-927E-2936FCDD528F}"/>
  <tableColumns count="5">
    <tableColumn id="1" xr3:uid="{935F3206-4A2D-46DB-AAEC-7926A261CCE6}" name="Item"/>
    <tableColumn id="2" xr3:uid="{5DA3222B-DC08-47A0-B7CA-902AD20FCD8F}" name="Selling price" dataDxfId="10"/>
    <tableColumn id="3" xr3:uid="{E76DF68A-67EF-406D-ABFB-6AA87C858F14}" name="Buying  Price" dataDxfId="9"/>
    <tableColumn id="4" xr3:uid="{AC4243FF-31E8-4EBB-843C-966631F07C62}" name="Opening Stock"/>
    <tableColumn id="5" xr3:uid="{4C0B145F-BB49-48A1-AD0B-0098A6FF6427}" name="Current Stock" dataDxfId="8">
      <calculatedColumnFormula xml:space="preserve"> Table2[[#This Row],[Opening Stock]] - SUMIF('Raw Table'!B:B, Table2[[#This Row],[Item]], 'Raw Table'!D:D)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E09AA2-4B61-4727-B823-B06714F7EBEF}" name="Table1" displayName="Table1" ref="A1:J36" totalsRowShown="0" tableBorderDxfId="7">
  <autoFilter ref="A1:J36" xr:uid="{3CE09AA2-4B61-4727-B823-B06714F7EBEF}">
    <filterColumn colId="0">
      <filters>
        <filter val="13/7/2026"/>
        <filter val="14/7/2026"/>
        <filter val="15//7/2026"/>
        <filter val="15/7/2026"/>
        <filter val="16/7/2026"/>
        <filter val="17/7/2026"/>
        <dateGroupItem year="2026" dateTimeGrouping="year"/>
      </filters>
    </filterColumn>
  </autoFilter>
  <tableColumns count="10">
    <tableColumn id="1" xr3:uid="{62C7F67B-05CF-4870-87EE-EB86F7FCED36}" name="Date" dataDxfId="6"/>
    <tableColumn id="2" xr3:uid="{0CA90993-4D47-415D-A1C4-9F549505EB9E}" name="Item"/>
    <tableColumn id="3" xr3:uid="{10BAE8F4-28DB-40A3-B599-DAA68AC49EE7}" name="Category "/>
    <tableColumn id="4" xr3:uid="{00445B56-CEBF-4C08-BAF0-66BD616C06F5}" name="Qty Sold"/>
    <tableColumn id="5" xr3:uid="{11CB460C-CB4C-4F19-99F4-5CD7E613FA5D}" name="Selling Price" dataDxfId="5">
      <calculatedColumnFormula>_xlfn.XLOOKUP(B2,Pricelist!$A$2:$A$100,Pricelist!$B$2:$B$100,0)</calculatedColumnFormula>
    </tableColumn>
    <tableColumn id="6" xr3:uid="{48582D83-5D1A-4F70-A413-DFCCD052F1C1}" name="Total Rev" dataDxfId="4">
      <calculatedColumnFormula xml:space="preserve">  D2*E2</calculatedColumnFormula>
    </tableColumn>
    <tableColumn id="7" xr3:uid="{C3EA61AE-AB3F-447F-9646-FB90C4E8CD00}" name="Status" dataDxfId="3">
      <calculatedColumnFormula>IF(F2&lt;20000,"Low","Good")</calculatedColumnFormula>
    </tableColumn>
    <tableColumn id="8" xr3:uid="{AD71FC23-B2D8-40FF-8459-038D1CCB9F8C}" name="Buying Price" dataDxfId="2">
      <calculatedColumnFormula>_xlfn.XLOOKUP(B2,Pricelist!$A$2:$A$21,Pricelist!$C$2:$C$21, 0)</calculatedColumnFormula>
    </tableColumn>
    <tableColumn id="9" xr3:uid="{1B5180D0-81A8-4AB8-ABC6-6CBA432DBC23}" name="Total Profit" dataDxfId="1">
      <calculatedColumnFormula>(E2-H2)*D2</calculatedColumnFormula>
    </tableColumn>
    <tableColumn id="11" xr3:uid="{CBD8B41B-5E79-472E-9E8E-EBCBE25855B6}" name="Stock Remaining " dataDxfId="0">
      <calculatedColumnFormula>100-D2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E7FC5-FEEE-42AB-ABBD-6FB937BF1E5C}">
  <dimension ref="A1:E20"/>
  <sheetViews>
    <sheetView tabSelected="1" workbookViewId="0">
      <selection activeCell="D36" sqref="D36"/>
    </sheetView>
  </sheetViews>
  <sheetFormatPr defaultRowHeight="15"/>
  <cols>
    <col min="1" max="1" width="12.140625" bestFit="1" customWidth="1"/>
    <col min="2" max="2" width="14.140625" style="15" bestFit="1" customWidth="1"/>
    <col min="3" max="3" width="14.5703125" style="15" bestFit="1" customWidth="1"/>
    <col min="4" max="4" width="16" bestFit="1" customWidth="1"/>
    <col min="5" max="5" width="15.42578125" bestFit="1" customWidth="1"/>
  </cols>
  <sheetData>
    <row r="1" spans="1:5">
      <c r="A1" t="s">
        <v>0</v>
      </c>
      <c r="B1" s="15" t="s">
        <v>1</v>
      </c>
      <c r="C1" s="15" t="s">
        <v>2</v>
      </c>
      <c r="D1" t="s">
        <v>3</v>
      </c>
      <c r="E1" t="s">
        <v>4</v>
      </c>
    </row>
    <row r="2" spans="1:5">
      <c r="A2" t="s">
        <v>5</v>
      </c>
      <c r="B2" s="15">
        <v>1300</v>
      </c>
      <c r="C2" s="15">
        <v>800</v>
      </c>
      <c r="D2">
        <v>500</v>
      </c>
      <c r="E2">
        <f xml:space="preserve"> Table2[[#This Row],[Opening Stock]] - SUMIF('Raw Table'!B:B, Table2[[#This Row],[Item]], 'Raw Table'!D:D)</f>
        <v>382</v>
      </c>
    </row>
    <row r="3" spans="1:5">
      <c r="A3" t="s">
        <v>6</v>
      </c>
      <c r="B3" s="15">
        <v>500</v>
      </c>
      <c r="C3" s="15">
        <v>300</v>
      </c>
      <c r="D3">
        <v>500</v>
      </c>
      <c r="E3">
        <f xml:space="preserve"> Table2[[#This Row],[Opening Stock]] - SUMIF('Raw Table'!B:B, Table2[[#This Row],[Item]], 'Raw Table'!D:D)</f>
        <v>287</v>
      </c>
    </row>
    <row r="4" spans="1:5">
      <c r="A4" t="s">
        <v>7</v>
      </c>
      <c r="B4" s="15">
        <v>5000</v>
      </c>
      <c r="C4" s="15">
        <v>4000</v>
      </c>
      <c r="D4">
        <v>500</v>
      </c>
      <c r="E4">
        <f xml:space="preserve"> Table2[[#This Row],[Opening Stock]] - SUMIF('Raw Table'!B:B, Table2[[#This Row],[Item]], 'Raw Table'!D:D)</f>
        <v>491</v>
      </c>
    </row>
    <row r="5" spans="1:5">
      <c r="A5" t="s">
        <v>8</v>
      </c>
      <c r="B5" s="15">
        <v>400</v>
      </c>
      <c r="C5" s="15">
        <v>300</v>
      </c>
      <c r="D5">
        <v>600</v>
      </c>
      <c r="E5">
        <f xml:space="preserve"> Table2[[#This Row],[Opening Stock]] - SUMIF('Raw Table'!B:B, Table2[[#This Row],[Item]], 'Raw Table'!D:D)</f>
        <v>330</v>
      </c>
    </row>
    <row r="6" spans="1:5">
      <c r="A6" t="s">
        <v>9</v>
      </c>
      <c r="B6" s="15">
        <v>700</v>
      </c>
      <c r="C6" s="15">
        <v>600</v>
      </c>
      <c r="D6">
        <v>500</v>
      </c>
      <c r="E6">
        <f xml:space="preserve"> Table2[[#This Row],[Opening Stock]] - SUMIF('Raw Table'!B:B, Table2[[#This Row],[Item]], 'Raw Table'!D:D)</f>
        <v>445</v>
      </c>
    </row>
    <row r="7" spans="1:5">
      <c r="A7" t="s">
        <v>10</v>
      </c>
      <c r="B7" s="15">
        <v>2500</v>
      </c>
      <c r="C7" s="15">
        <v>2000</v>
      </c>
      <c r="D7">
        <v>500</v>
      </c>
      <c r="E7">
        <f xml:space="preserve"> Table2[[#This Row],[Opening Stock]] - SUMIF('Raw Table'!B:B, Table2[[#This Row],[Item]], 'Raw Table'!D:D)</f>
        <v>341</v>
      </c>
    </row>
    <row r="8" spans="1:5">
      <c r="A8" t="s">
        <v>11</v>
      </c>
      <c r="B8" s="15">
        <v>600</v>
      </c>
      <c r="C8" s="15">
        <v>500</v>
      </c>
      <c r="D8">
        <v>500</v>
      </c>
      <c r="E8">
        <f xml:space="preserve"> Table2[[#This Row],[Opening Stock]] - SUMIF('Raw Table'!B:B, Table2[[#This Row],[Item]], 'Raw Table'!D:D)</f>
        <v>495</v>
      </c>
    </row>
    <row r="9" spans="1:5">
      <c r="A9" t="s">
        <v>12</v>
      </c>
      <c r="B9" s="15">
        <v>2000</v>
      </c>
      <c r="C9" s="15">
        <v>1800</v>
      </c>
      <c r="D9">
        <v>500</v>
      </c>
      <c r="E9">
        <f xml:space="preserve"> Table2[[#This Row],[Opening Stock]] - SUMIF('Raw Table'!B:B, Table2[[#This Row],[Item]], 'Raw Table'!D:D)</f>
        <v>391</v>
      </c>
    </row>
    <row r="10" spans="1:5">
      <c r="A10" t="s">
        <v>13</v>
      </c>
      <c r="B10" s="15">
        <v>30000</v>
      </c>
      <c r="C10" s="15">
        <v>25000</v>
      </c>
      <c r="D10">
        <v>500</v>
      </c>
      <c r="E10">
        <f xml:space="preserve"> Table2[[#This Row],[Opening Stock]] - SUMIF('Raw Table'!B:B, Table2[[#This Row],[Item]], 'Raw Table'!D:D)</f>
        <v>450</v>
      </c>
    </row>
    <row r="11" spans="1:5">
      <c r="A11" t="s">
        <v>14</v>
      </c>
      <c r="B11" s="15">
        <v>1700</v>
      </c>
      <c r="C11" s="15">
        <v>1500</v>
      </c>
      <c r="D11">
        <v>500</v>
      </c>
      <c r="E11">
        <f xml:space="preserve"> Table2[[#This Row],[Opening Stock]] - SUMIF('Raw Table'!B:B, Table2[[#This Row],[Item]], 'Raw Table'!D:D)</f>
        <v>485</v>
      </c>
    </row>
    <row r="12" spans="1:5">
      <c r="A12" t="s">
        <v>15</v>
      </c>
      <c r="B12" s="15">
        <v>100</v>
      </c>
      <c r="C12" s="15">
        <v>70</v>
      </c>
      <c r="D12">
        <v>500</v>
      </c>
      <c r="E12">
        <f xml:space="preserve"> Table2[[#This Row],[Opening Stock]] - SUMIF('Raw Table'!B:B, Table2[[#This Row],[Item]], 'Raw Table'!D:D)</f>
        <v>500</v>
      </c>
    </row>
    <row r="13" spans="1:5">
      <c r="A13" t="s">
        <v>16</v>
      </c>
      <c r="B13" s="15">
        <v>300</v>
      </c>
      <c r="C13" s="15">
        <v>250</v>
      </c>
      <c r="D13">
        <v>500</v>
      </c>
      <c r="E13">
        <f xml:space="preserve"> Table2[[#This Row],[Opening Stock]] - SUMIF('Raw Table'!B:B, Table2[[#This Row],[Item]], 'Raw Table'!D:D)</f>
        <v>350</v>
      </c>
    </row>
    <row r="14" spans="1:5">
      <c r="A14" t="s">
        <v>17</v>
      </c>
      <c r="B14" s="15">
        <v>350</v>
      </c>
      <c r="C14" s="15">
        <v>200</v>
      </c>
      <c r="D14">
        <v>500</v>
      </c>
      <c r="E14">
        <f xml:space="preserve"> Table2[[#This Row],[Opening Stock]] - SUMIF('Raw Table'!B:B, Table2[[#This Row],[Item]], 'Raw Table'!D:D)</f>
        <v>500</v>
      </c>
    </row>
    <row r="15" spans="1:5">
      <c r="A15" t="s">
        <v>18</v>
      </c>
      <c r="B15" s="15">
        <v>200</v>
      </c>
      <c r="C15" s="15">
        <v>150</v>
      </c>
      <c r="D15">
        <v>500</v>
      </c>
      <c r="E15">
        <f xml:space="preserve"> Table2[[#This Row],[Opening Stock]] - SUMIF('Raw Table'!B:B, Table2[[#This Row],[Item]], 'Raw Table'!D:D)</f>
        <v>400</v>
      </c>
    </row>
    <row r="16" spans="1:5">
      <c r="A16" t="s">
        <v>19</v>
      </c>
      <c r="B16" s="15">
        <v>1200</v>
      </c>
      <c r="C16" s="15">
        <v>1000</v>
      </c>
      <c r="D16">
        <v>500</v>
      </c>
      <c r="E16">
        <f xml:space="preserve"> Table2[[#This Row],[Opening Stock]] - SUMIF('Raw Table'!B:B, Table2[[#This Row],[Item]], 'Raw Table'!D:D)</f>
        <v>489</v>
      </c>
    </row>
    <row r="17" spans="1:5">
      <c r="A17" t="s">
        <v>20</v>
      </c>
      <c r="B17" s="15">
        <v>900</v>
      </c>
      <c r="C17" s="15">
        <v>750</v>
      </c>
      <c r="D17">
        <v>500</v>
      </c>
      <c r="E17">
        <f xml:space="preserve"> Table2[[#This Row],[Opening Stock]] - SUMIF('Raw Table'!B:B, Table2[[#This Row],[Item]], 'Raw Table'!D:D)</f>
        <v>500</v>
      </c>
    </row>
    <row r="18" spans="1:5">
      <c r="A18" t="s">
        <v>21</v>
      </c>
      <c r="B18" s="15">
        <v>245</v>
      </c>
      <c r="C18" s="15">
        <v>200</v>
      </c>
      <c r="D18">
        <v>500</v>
      </c>
      <c r="E18">
        <f xml:space="preserve"> Table2[[#This Row],[Opening Stock]] - SUMIF('Raw Table'!B:B, Table2[[#This Row],[Item]], 'Raw Table'!D:D)</f>
        <v>433</v>
      </c>
    </row>
    <row r="19" spans="1:5">
      <c r="A19" t="s">
        <v>22</v>
      </c>
      <c r="B19" s="15">
        <v>50</v>
      </c>
      <c r="C19" s="15">
        <v>30</v>
      </c>
      <c r="D19">
        <v>500</v>
      </c>
      <c r="E19">
        <f xml:space="preserve"> Table2[[#This Row],[Opening Stock]] - SUMIF('Raw Table'!B:B, Table2[[#This Row],[Item]], 'Raw Table'!D:D)</f>
        <v>500</v>
      </c>
    </row>
    <row r="20" spans="1:5">
      <c r="A20" t="s">
        <v>23</v>
      </c>
      <c r="B20" s="15">
        <v>70</v>
      </c>
      <c r="C20" s="15">
        <v>50</v>
      </c>
      <c r="D20">
        <v>500</v>
      </c>
      <c r="E20">
        <f xml:space="preserve"> Table2[[#This Row],[Opening Stock]] - SUMIF('Raw Table'!B:B, Table2[[#This Row],[Item]], 'Raw Table'!D:D)</f>
        <v>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7CC17-2E56-1141-A8D3-0F59110A7B26}">
  <dimension ref="A1:P57"/>
  <sheetViews>
    <sheetView topLeftCell="A4" zoomScaleNormal="60" zoomScaleSheetLayoutView="100" workbookViewId="0">
      <selection activeCell="K27" sqref="K27"/>
    </sheetView>
  </sheetViews>
  <sheetFormatPr defaultRowHeight="15"/>
  <cols>
    <col min="1" max="1" width="11.28515625" bestFit="1" customWidth="1"/>
    <col min="2" max="2" width="12.28515625" bestFit="1" customWidth="1"/>
    <col min="3" max="3" width="12.5703125" bestFit="1" customWidth="1"/>
    <col min="4" max="4" width="11.42578125" bestFit="1" customWidth="1"/>
    <col min="5" max="5" width="36.5703125" style="15" bestFit="1" customWidth="1"/>
    <col min="6" max="6" width="14.140625" style="15" bestFit="1" customWidth="1"/>
    <col min="7" max="7" width="26.42578125" bestFit="1" customWidth="1"/>
    <col min="8" max="8" width="36.5703125" style="15" bestFit="1" customWidth="1"/>
    <col min="9" max="9" width="36.5703125" customWidth="1"/>
    <col min="10" max="10" width="36.5703125" style="4" customWidth="1"/>
    <col min="11" max="13" width="36.5703125" customWidth="1"/>
    <col min="14" max="14" width="36.5703125" bestFit="1" customWidth="1"/>
  </cols>
  <sheetData>
    <row r="1" spans="1:16">
      <c r="A1" s="20" t="s">
        <v>24</v>
      </c>
      <c r="B1" s="21" t="s">
        <v>0</v>
      </c>
      <c r="C1" s="21" t="s">
        <v>25</v>
      </c>
      <c r="D1" s="21" t="s">
        <v>26</v>
      </c>
      <c r="E1" s="22" t="s">
        <v>27</v>
      </c>
      <c r="F1" s="22" t="s">
        <v>28</v>
      </c>
      <c r="G1" s="23" t="s">
        <v>29</v>
      </c>
      <c r="H1" s="15" t="s">
        <v>30</v>
      </c>
      <c r="I1" t="s">
        <v>31</v>
      </c>
      <c r="J1" s="4" t="s">
        <v>32</v>
      </c>
      <c r="N1" s="2"/>
    </row>
    <row r="2" spans="1:16">
      <c r="A2" s="1">
        <v>46029</v>
      </c>
      <c r="B2" t="s">
        <v>5</v>
      </c>
      <c r="C2" t="s">
        <v>33</v>
      </c>
      <c r="D2">
        <v>40</v>
      </c>
      <c r="E2" s="18">
        <f>_xlfn.XLOOKUP(B2,Pricelist!$A$2:$A$100,Pricelist!$B$2:$B$100,0)</f>
        <v>1300</v>
      </c>
      <c r="F2" s="15">
        <f xml:space="preserve">  D2*E2</f>
        <v>52000</v>
      </c>
      <c r="G2" t="str">
        <f>IF(F2&lt;20000,"Low","Good")</f>
        <v>Good</v>
      </c>
      <c r="H2" s="18">
        <f>_xlfn.XLOOKUP(B2,Pricelist!$A$2:$A$21,Pricelist!$C$2:$C$21, 0)</f>
        <v>800</v>
      </c>
      <c r="I2" s="18">
        <f t="shared" ref="I2:I34" si="0">(E2-H2)*D2</f>
        <v>20000</v>
      </c>
      <c r="J2" s="24">
        <f t="shared" ref="J2:J34" si="1">100-D2</f>
        <v>60</v>
      </c>
      <c r="K2" s="18"/>
      <c r="L2" s="18"/>
      <c r="M2" s="18"/>
    </row>
    <row r="3" spans="1:16">
      <c r="A3" s="1">
        <v>46029</v>
      </c>
      <c r="B3" t="s">
        <v>8</v>
      </c>
      <c r="C3" t="s">
        <v>34</v>
      </c>
      <c r="D3">
        <v>25</v>
      </c>
      <c r="E3" s="15">
        <f>_xlfn.XLOOKUP(B3,Pricelist!$A$2:$A$100,Pricelist!$B$2:$B$100,0)</f>
        <v>400</v>
      </c>
      <c r="F3" s="15">
        <f t="shared" ref="F2:F28" si="2" xml:space="preserve">  D3*E3</f>
        <v>10000</v>
      </c>
      <c r="G3" t="str">
        <f t="shared" ref="G2:G28" si="3">IF(F3&lt;20000,"Low","Good")</f>
        <v>Low</v>
      </c>
      <c r="H3" s="15">
        <f>_xlfn.XLOOKUP(B3,Pricelist!$A$2:$A$21,Pricelist!$C$2:$C$21, 0)</f>
        <v>300</v>
      </c>
      <c r="I3" s="15">
        <f t="shared" si="0"/>
        <v>2500</v>
      </c>
      <c r="J3" s="4">
        <f t="shared" si="1"/>
        <v>75</v>
      </c>
      <c r="K3" s="15"/>
      <c r="L3" s="15"/>
      <c r="M3" s="15"/>
    </row>
    <row r="4" spans="1:16">
      <c r="A4" s="1">
        <v>46060</v>
      </c>
      <c r="B4" t="s">
        <v>12</v>
      </c>
      <c r="C4" t="s">
        <v>33</v>
      </c>
      <c r="D4">
        <v>30</v>
      </c>
      <c r="E4" s="15">
        <f>_xlfn.XLOOKUP(B4,Pricelist!$A$2:$A$100,Pricelist!$B$2:$B$100,0)</f>
        <v>2000</v>
      </c>
      <c r="F4" s="15">
        <f t="shared" si="2"/>
        <v>60000</v>
      </c>
      <c r="G4" t="str">
        <f>IF(F4&lt;20000,"Low","Good")</f>
        <v>Good</v>
      </c>
      <c r="H4" s="15">
        <f>_xlfn.XLOOKUP(B4,Pricelist!$A$2:$A$21,Pricelist!$C$2:$C$21, 0)</f>
        <v>1800</v>
      </c>
      <c r="I4" s="15">
        <f t="shared" si="0"/>
        <v>6000</v>
      </c>
      <c r="J4" s="4">
        <f t="shared" si="1"/>
        <v>70</v>
      </c>
      <c r="K4" s="15"/>
      <c r="L4" s="15"/>
      <c r="M4" s="15"/>
    </row>
    <row r="5" spans="1:16">
      <c r="A5" s="1">
        <v>46060</v>
      </c>
      <c r="B5" s="3" t="s">
        <v>9</v>
      </c>
      <c r="C5" s="3" t="s">
        <v>34</v>
      </c>
      <c r="D5" s="3">
        <v>20</v>
      </c>
      <c r="E5" s="16">
        <f>_xlfn.XLOOKUP(B5,Pricelist!$A$2:$A$100,Pricelist!$B$2:$B$100,0)</f>
        <v>700</v>
      </c>
      <c r="F5" s="16">
        <f t="shared" si="2"/>
        <v>14000</v>
      </c>
      <c r="G5" t="str">
        <f t="shared" si="3"/>
        <v>Low</v>
      </c>
      <c r="H5" s="15">
        <f>_xlfn.XLOOKUP(B5,Pricelist!$A$2:$A$21,Pricelist!$C$2:$C$21, 0)</f>
        <v>600</v>
      </c>
      <c r="I5" s="15">
        <f t="shared" si="0"/>
        <v>2000</v>
      </c>
      <c r="J5" s="4">
        <f t="shared" si="1"/>
        <v>80</v>
      </c>
      <c r="K5" s="15"/>
      <c r="L5" s="15"/>
      <c r="M5" s="15"/>
    </row>
    <row r="6" spans="1:16">
      <c r="A6" s="1">
        <v>46088</v>
      </c>
      <c r="B6" s="3" t="s">
        <v>5</v>
      </c>
      <c r="C6" s="3" t="s">
        <v>33</v>
      </c>
      <c r="D6" s="3">
        <v>55</v>
      </c>
      <c r="E6" s="16">
        <f>_xlfn.XLOOKUP(B6,Pricelist!$A$2:$A$100,Pricelist!$B$2:$B$100,0)</f>
        <v>1300</v>
      </c>
      <c r="F6" s="16">
        <f t="shared" si="2"/>
        <v>71500</v>
      </c>
      <c r="G6" t="str">
        <f t="shared" si="3"/>
        <v>Good</v>
      </c>
      <c r="H6" s="15">
        <f>_xlfn.XLOOKUP(B6,Pricelist!$A$2:$A$21,Pricelist!$C$2:$C$21, 0)</f>
        <v>800</v>
      </c>
      <c r="I6" s="15">
        <f t="shared" si="0"/>
        <v>27500</v>
      </c>
      <c r="J6" s="4">
        <f t="shared" si="1"/>
        <v>45</v>
      </c>
      <c r="K6" s="15"/>
      <c r="L6" s="15"/>
      <c r="M6" s="15"/>
    </row>
    <row r="7" spans="1:16">
      <c r="A7" s="1">
        <v>46088</v>
      </c>
      <c r="B7" s="3" t="s">
        <v>6</v>
      </c>
      <c r="C7" s="3" t="s">
        <v>34</v>
      </c>
      <c r="D7" s="3">
        <v>35</v>
      </c>
      <c r="E7" s="16">
        <f>_xlfn.XLOOKUP(B7,Pricelist!$A$2:$A$100,Pricelist!$B$2:$B$100,0)</f>
        <v>500</v>
      </c>
      <c r="F7" s="16">
        <f t="shared" si="2"/>
        <v>17500</v>
      </c>
      <c r="G7" t="str">
        <f t="shared" si="3"/>
        <v>Low</v>
      </c>
      <c r="H7" s="15">
        <f>_xlfn.XLOOKUP(B7,Pricelist!$A$2:$A$21,Pricelist!$C$2:$C$21, 0)</f>
        <v>300</v>
      </c>
      <c r="I7" s="15">
        <f t="shared" si="0"/>
        <v>7000</v>
      </c>
      <c r="J7" s="4">
        <f t="shared" si="1"/>
        <v>65</v>
      </c>
      <c r="K7" s="15"/>
      <c r="L7" s="15"/>
      <c r="M7" s="15"/>
    </row>
    <row r="8" spans="1:16">
      <c r="A8" s="1">
        <v>46119</v>
      </c>
      <c r="B8" s="3" t="s">
        <v>10</v>
      </c>
      <c r="C8" s="3" t="s">
        <v>33</v>
      </c>
      <c r="D8" s="3">
        <v>22</v>
      </c>
      <c r="E8" s="16">
        <f>_xlfn.XLOOKUP(B8,Pricelist!$A$2:$A$100,Pricelist!$B$2:$B$100,0)</f>
        <v>2500</v>
      </c>
      <c r="F8" s="16">
        <f t="shared" si="2"/>
        <v>55000</v>
      </c>
      <c r="G8" t="str">
        <f>IF(F8&lt;20000,"Low","Good")</f>
        <v>Good</v>
      </c>
      <c r="H8" s="15">
        <f>_xlfn.XLOOKUP(B8,Pricelist!$A$2:$A$21,Pricelist!$C$2:$C$21, 0)</f>
        <v>2000</v>
      </c>
      <c r="I8" s="15">
        <f t="shared" si="0"/>
        <v>11000</v>
      </c>
      <c r="J8" s="4">
        <f t="shared" si="1"/>
        <v>78</v>
      </c>
      <c r="K8" s="15"/>
      <c r="L8" s="15"/>
      <c r="M8" s="15"/>
    </row>
    <row r="9" spans="1:16">
      <c r="A9" s="1">
        <v>46119</v>
      </c>
      <c r="B9" s="3" t="s">
        <v>8</v>
      </c>
      <c r="C9" s="3" t="s">
        <v>34</v>
      </c>
      <c r="D9" s="3">
        <v>40</v>
      </c>
      <c r="E9" s="16">
        <f>_xlfn.XLOOKUP(B9,Pricelist!$A$2:$A$100,Pricelist!$B$2:$B$100,0)</f>
        <v>400</v>
      </c>
      <c r="F9" s="16">
        <f t="shared" si="2"/>
        <v>16000</v>
      </c>
      <c r="G9" t="str">
        <f t="shared" si="3"/>
        <v>Low</v>
      </c>
      <c r="H9" s="15">
        <f>_xlfn.XLOOKUP(B9,Pricelist!$A$2:$A$21,Pricelist!$C$2:$C$21, 0)</f>
        <v>300</v>
      </c>
      <c r="I9" s="15">
        <f t="shared" si="0"/>
        <v>4000</v>
      </c>
      <c r="J9" s="4">
        <f t="shared" si="1"/>
        <v>60</v>
      </c>
      <c r="K9" s="15"/>
      <c r="L9" s="15"/>
      <c r="M9" s="15"/>
    </row>
    <row r="10" spans="1:16">
      <c r="A10" s="1">
        <v>46149</v>
      </c>
      <c r="B10" s="3" t="s">
        <v>12</v>
      </c>
      <c r="C10" s="3" t="s">
        <v>33</v>
      </c>
      <c r="D10" s="3">
        <v>45</v>
      </c>
      <c r="E10" s="16">
        <f>_xlfn.XLOOKUP(B10,Pricelist!$A$2:$A$100,Pricelist!$B$2:$B$100,0)</f>
        <v>2000</v>
      </c>
      <c r="F10" s="16">
        <f t="shared" si="2"/>
        <v>90000</v>
      </c>
      <c r="G10" t="str">
        <f t="shared" si="3"/>
        <v>Good</v>
      </c>
      <c r="H10" s="15">
        <f>_xlfn.XLOOKUP(B10,Pricelist!$A$2:$A$21,Pricelist!$C$2:$C$21, 0)</f>
        <v>1800</v>
      </c>
      <c r="I10" s="15">
        <f t="shared" si="0"/>
        <v>9000</v>
      </c>
      <c r="J10" s="4">
        <f t="shared" si="1"/>
        <v>55</v>
      </c>
      <c r="K10" s="15"/>
      <c r="L10" s="15"/>
      <c r="M10" s="15"/>
    </row>
    <row r="11" spans="1:16">
      <c r="A11" s="1">
        <v>46149</v>
      </c>
      <c r="B11" s="3" t="s">
        <v>9</v>
      </c>
      <c r="C11" s="3" t="s">
        <v>34</v>
      </c>
      <c r="D11" s="3">
        <v>28</v>
      </c>
      <c r="E11" s="16">
        <f>_xlfn.XLOOKUP(B11,Pricelist!$A$2:$A$100,Pricelist!$B$2:$B$100,0)</f>
        <v>700</v>
      </c>
      <c r="F11" s="16">
        <f t="shared" si="2"/>
        <v>19600</v>
      </c>
      <c r="G11" t="str">
        <f t="shared" si="3"/>
        <v>Low</v>
      </c>
      <c r="H11" s="15">
        <f>_xlfn.XLOOKUP(B11,Pricelist!$A$2:$A$21,Pricelist!$C$2:$C$21, 0)</f>
        <v>600</v>
      </c>
      <c r="I11" s="15">
        <f t="shared" si="0"/>
        <v>2800</v>
      </c>
      <c r="J11" s="4">
        <f t="shared" si="1"/>
        <v>72</v>
      </c>
      <c r="K11" s="15"/>
      <c r="L11" s="15"/>
      <c r="M11" s="15"/>
    </row>
    <row r="12" spans="1:16">
      <c r="A12" s="1">
        <v>46180</v>
      </c>
      <c r="B12" t="s">
        <v>8</v>
      </c>
      <c r="C12" t="s">
        <v>34</v>
      </c>
      <c r="D12">
        <v>100</v>
      </c>
      <c r="E12" s="15">
        <f>_xlfn.XLOOKUP(B12,Pricelist!$A$2:$A$100,Pricelist!$B$2:$B$100,0)</f>
        <v>400</v>
      </c>
      <c r="F12" s="15">
        <f t="shared" si="2"/>
        <v>40000</v>
      </c>
      <c r="G12" t="str">
        <f t="shared" si="3"/>
        <v>Good</v>
      </c>
      <c r="H12" s="15">
        <f>_xlfn.XLOOKUP(B12,Pricelist!$A$2:$A$21,Pricelist!$C$2:$C$21, 0)</f>
        <v>300</v>
      </c>
      <c r="I12" s="15">
        <f t="shared" si="0"/>
        <v>10000</v>
      </c>
      <c r="J12" s="4">
        <f t="shared" si="1"/>
        <v>0</v>
      </c>
      <c r="K12" s="15"/>
      <c r="L12" s="15"/>
      <c r="M12" s="15"/>
      <c r="N12" s="5"/>
      <c r="O12" s="6"/>
      <c r="P12" s="7"/>
    </row>
    <row r="13" spans="1:16">
      <c r="A13" s="1">
        <v>46180</v>
      </c>
      <c r="B13" t="s">
        <v>10</v>
      </c>
      <c r="C13" t="s">
        <v>33</v>
      </c>
      <c r="D13">
        <v>50</v>
      </c>
      <c r="E13" s="15">
        <f>_xlfn.XLOOKUP(B13,Pricelist!$A$2:$A$100,Pricelist!$B$2:$B$100,0)</f>
        <v>2500</v>
      </c>
      <c r="F13" s="15">
        <f t="shared" si="2"/>
        <v>125000</v>
      </c>
      <c r="G13" t="str">
        <f t="shared" si="3"/>
        <v>Good</v>
      </c>
      <c r="H13" s="15">
        <f>_xlfn.XLOOKUP(B13,Pricelist!$A$2:$A$21,Pricelist!$C$2:$C$21, 0)</f>
        <v>2000</v>
      </c>
      <c r="I13" s="15">
        <f t="shared" si="0"/>
        <v>25000</v>
      </c>
      <c r="J13" s="4">
        <f t="shared" si="1"/>
        <v>50</v>
      </c>
      <c r="K13" s="15"/>
      <c r="L13" s="15"/>
      <c r="M13" s="15"/>
      <c r="N13" s="8"/>
      <c r="O13" s="9"/>
      <c r="P13" s="10"/>
    </row>
    <row r="14" spans="1:16">
      <c r="A14" s="1">
        <v>46210</v>
      </c>
      <c r="B14" t="s">
        <v>35</v>
      </c>
      <c r="C14" t="s">
        <v>36</v>
      </c>
      <c r="D14">
        <v>3</v>
      </c>
      <c r="E14" s="15">
        <f>_xlfn.XLOOKUP(B14,Pricelist!$A$2:$A$100,Pricelist!$B$2:$B$100,0)</f>
        <v>5000</v>
      </c>
      <c r="F14" s="15">
        <f t="shared" si="2"/>
        <v>15000</v>
      </c>
      <c r="G14" t="str">
        <f t="shared" si="3"/>
        <v>Low</v>
      </c>
      <c r="H14" s="15">
        <f>_xlfn.XLOOKUP(B14,Pricelist!$A$2:$A$21,Pricelist!$C$2:$C$21, 0)</f>
        <v>4000</v>
      </c>
      <c r="I14" s="15">
        <f t="shared" si="0"/>
        <v>3000</v>
      </c>
      <c r="J14" s="4">
        <f t="shared" si="1"/>
        <v>97</v>
      </c>
      <c r="K14" s="15"/>
      <c r="L14" s="15"/>
      <c r="M14" s="15"/>
      <c r="N14" s="8"/>
      <c r="O14" s="9"/>
      <c r="P14" s="10"/>
    </row>
    <row r="15" spans="1:16">
      <c r="A15" s="1">
        <v>46210</v>
      </c>
      <c r="B15" t="s">
        <v>13</v>
      </c>
      <c r="C15" t="s">
        <v>36</v>
      </c>
      <c r="D15">
        <v>5</v>
      </c>
      <c r="E15" s="15">
        <f>_xlfn.XLOOKUP(B15,Pricelist!$A$2:$A$100,Pricelist!$B$2:$B$100,0)</f>
        <v>30000</v>
      </c>
      <c r="F15" s="15">
        <f t="shared" si="2"/>
        <v>150000</v>
      </c>
      <c r="G15" t="str">
        <f t="shared" si="3"/>
        <v>Good</v>
      </c>
      <c r="H15" s="15">
        <f>_xlfn.XLOOKUP(B15,Pricelist!$A$2:$A$21,Pricelist!$C$2:$C$21, 0)</f>
        <v>25000</v>
      </c>
      <c r="I15" s="15">
        <f t="shared" si="0"/>
        <v>25000</v>
      </c>
      <c r="J15" s="4">
        <f t="shared" si="1"/>
        <v>95</v>
      </c>
      <c r="K15" s="15"/>
      <c r="L15" s="15"/>
      <c r="M15" s="15"/>
      <c r="N15" s="8"/>
      <c r="O15" s="9"/>
      <c r="P15" s="10"/>
    </row>
    <row r="16" spans="1:16">
      <c r="A16" s="1">
        <v>46241</v>
      </c>
      <c r="B16" t="s">
        <v>8</v>
      </c>
      <c r="C16" t="s">
        <v>34</v>
      </c>
      <c r="D16">
        <v>45</v>
      </c>
      <c r="E16" s="15">
        <f>_xlfn.XLOOKUP(B16,Pricelist!$A$2:$A$100,Pricelist!$B$2:$B$100,0)</f>
        <v>400</v>
      </c>
      <c r="F16" s="15">
        <f t="shared" si="2"/>
        <v>18000</v>
      </c>
      <c r="G16" t="str">
        <f t="shared" si="3"/>
        <v>Low</v>
      </c>
      <c r="H16" s="15">
        <f>_xlfn.XLOOKUP(B16,Pricelist!$A$2:$A$21,Pricelist!$C$2:$C$21, 0)</f>
        <v>300</v>
      </c>
      <c r="I16" s="15">
        <f t="shared" si="0"/>
        <v>4500</v>
      </c>
      <c r="J16" s="4">
        <f t="shared" si="1"/>
        <v>55</v>
      </c>
      <c r="K16" s="15"/>
      <c r="L16" s="15"/>
      <c r="M16" s="15"/>
      <c r="N16" s="8"/>
      <c r="O16" s="9"/>
      <c r="P16" s="10"/>
    </row>
    <row r="17" spans="1:16">
      <c r="A17" s="1">
        <v>46241</v>
      </c>
      <c r="B17" t="s">
        <v>37</v>
      </c>
      <c r="C17" t="s">
        <v>34</v>
      </c>
      <c r="D17">
        <v>25</v>
      </c>
      <c r="E17" s="18">
        <f>_xlfn.XLOOKUP(B17,Pricelist!$A$2:$A$100,Pricelist!$B$2:$B$100,0)</f>
        <v>500</v>
      </c>
      <c r="F17" s="15">
        <f t="shared" si="2"/>
        <v>12500</v>
      </c>
      <c r="G17" t="str">
        <f t="shared" si="3"/>
        <v>Low</v>
      </c>
      <c r="H17" s="15">
        <f>_xlfn.XLOOKUP(B17,Pricelist!$A$2:$A$21,Pricelist!$C$2:$C$21, 0)</f>
        <v>300</v>
      </c>
      <c r="I17" s="15">
        <f t="shared" si="0"/>
        <v>5000</v>
      </c>
      <c r="J17" s="4">
        <f t="shared" si="1"/>
        <v>75</v>
      </c>
      <c r="K17" s="15"/>
      <c r="L17" s="15"/>
      <c r="M17" s="15"/>
      <c r="N17" s="8"/>
      <c r="O17" s="9"/>
      <c r="P17" s="10"/>
    </row>
    <row r="18" spans="1:16">
      <c r="A18" s="1">
        <v>46272</v>
      </c>
      <c r="B18" t="s">
        <v>10</v>
      </c>
      <c r="C18" t="s">
        <v>33</v>
      </c>
      <c r="D18">
        <v>20</v>
      </c>
      <c r="E18" s="15">
        <f>_xlfn.XLOOKUP(B18,Pricelist!$A$2:$A$100,Pricelist!$B$2:$B$100,0)</f>
        <v>2500</v>
      </c>
      <c r="F18" s="15">
        <f t="shared" si="2"/>
        <v>50000</v>
      </c>
      <c r="G18" t="str">
        <f t="shared" si="3"/>
        <v>Good</v>
      </c>
      <c r="H18" s="15">
        <f>_xlfn.XLOOKUP(B18,Pricelist!$A$2:$A$21,Pricelist!$C$2:$C$21, 0)</f>
        <v>2000</v>
      </c>
      <c r="I18" s="15">
        <f t="shared" si="0"/>
        <v>10000</v>
      </c>
      <c r="J18" s="4">
        <f t="shared" si="1"/>
        <v>80</v>
      </c>
      <c r="K18" s="15"/>
      <c r="L18" s="15"/>
      <c r="M18" s="15"/>
      <c r="N18" s="8"/>
      <c r="O18" s="9"/>
      <c r="P18" s="10"/>
    </row>
    <row r="19" spans="1:16">
      <c r="A19" s="1">
        <v>46272</v>
      </c>
      <c r="B19" t="s">
        <v>11</v>
      </c>
      <c r="C19" t="s">
        <v>34</v>
      </c>
      <c r="D19">
        <v>5</v>
      </c>
      <c r="E19" s="15">
        <f>_xlfn.XLOOKUP(B19,Pricelist!$A$2:$A$100,Pricelist!$B$2:$B$100,0)</f>
        <v>600</v>
      </c>
      <c r="F19" s="15">
        <f t="shared" si="2"/>
        <v>3000</v>
      </c>
      <c r="G19" t="str">
        <f t="shared" si="3"/>
        <v>Low</v>
      </c>
      <c r="H19" s="15">
        <f>_xlfn.XLOOKUP(B19,Pricelist!$A$2:$A$21,Pricelist!$C$2:$C$21, 0)</f>
        <v>500</v>
      </c>
      <c r="I19" s="15">
        <f t="shared" si="0"/>
        <v>500</v>
      </c>
      <c r="J19" s="4">
        <f t="shared" si="1"/>
        <v>95</v>
      </c>
      <c r="K19" s="15"/>
      <c r="L19" s="15"/>
      <c r="M19" s="15"/>
      <c r="N19" s="8"/>
      <c r="O19" s="9"/>
      <c r="P19" s="10"/>
    </row>
    <row r="20" spans="1:16">
      <c r="A20" s="1">
        <v>46302</v>
      </c>
      <c r="B20" t="s">
        <v>9</v>
      </c>
      <c r="C20" t="s">
        <v>34</v>
      </c>
      <c r="D20">
        <v>7</v>
      </c>
      <c r="E20" s="15">
        <f>_xlfn.XLOOKUP(B20,Pricelist!$A$2:$A$100,Pricelist!$B$2:$B$100,0)</f>
        <v>700</v>
      </c>
      <c r="F20" s="15">
        <f t="shared" si="2"/>
        <v>4900</v>
      </c>
      <c r="G20" t="str">
        <f t="shared" si="3"/>
        <v>Low</v>
      </c>
      <c r="H20" s="15">
        <f>_xlfn.XLOOKUP(B20,Pricelist!$A$2:$A$21,Pricelist!$C$2:$C$21, 0)</f>
        <v>600</v>
      </c>
      <c r="I20" s="15">
        <f t="shared" si="0"/>
        <v>700</v>
      </c>
      <c r="J20" s="4">
        <f t="shared" si="1"/>
        <v>93</v>
      </c>
      <c r="K20" s="15"/>
      <c r="L20" s="15"/>
      <c r="M20" s="15"/>
      <c r="N20" s="8"/>
      <c r="O20" s="9"/>
      <c r="P20" s="10"/>
    </row>
    <row r="21" spans="1:16">
      <c r="A21" s="1">
        <v>46302</v>
      </c>
      <c r="B21" t="s">
        <v>7</v>
      </c>
      <c r="C21" t="s">
        <v>36</v>
      </c>
      <c r="D21">
        <v>6</v>
      </c>
      <c r="E21" s="15">
        <f>_xlfn.XLOOKUP(B21,Pricelist!$A$2:$A$100,Pricelist!$B$2:$B$100,0)</f>
        <v>5000</v>
      </c>
      <c r="F21" s="15">
        <f t="shared" si="2"/>
        <v>30000</v>
      </c>
      <c r="G21" t="str">
        <f t="shared" si="3"/>
        <v>Good</v>
      </c>
      <c r="H21" s="15">
        <f>_xlfn.XLOOKUP(B21,Pricelist!$A$2:$A$21,Pricelist!$C$2:$C$21, 0)</f>
        <v>4000</v>
      </c>
      <c r="I21" s="15">
        <f t="shared" si="0"/>
        <v>6000</v>
      </c>
      <c r="J21" s="4">
        <f t="shared" si="1"/>
        <v>94</v>
      </c>
      <c r="K21" s="15"/>
      <c r="L21" s="15"/>
      <c r="M21" s="15"/>
      <c r="N21" s="8"/>
      <c r="O21" s="9"/>
      <c r="P21" s="10"/>
    </row>
    <row r="22" spans="1:16">
      <c r="A22" s="1">
        <v>46333</v>
      </c>
      <c r="B22" t="s">
        <v>8</v>
      </c>
      <c r="C22" t="s">
        <v>34</v>
      </c>
      <c r="D22">
        <v>45</v>
      </c>
      <c r="E22" s="15">
        <f>_xlfn.XLOOKUP(B22,Pricelist!$A$2:$A$100,Pricelist!$B$2:$B$100,0)</f>
        <v>400</v>
      </c>
      <c r="F22" s="15">
        <f t="shared" si="2"/>
        <v>18000</v>
      </c>
      <c r="G22" t="str">
        <f t="shared" si="3"/>
        <v>Low</v>
      </c>
      <c r="H22" s="15">
        <f>_xlfn.XLOOKUP(B22,Pricelist!$A$2:$A$21,Pricelist!$C$2:$C$21, 0)</f>
        <v>300</v>
      </c>
      <c r="I22" s="15">
        <f t="shared" si="0"/>
        <v>4500</v>
      </c>
      <c r="J22" s="4">
        <f t="shared" si="1"/>
        <v>55</v>
      </c>
      <c r="K22" s="15"/>
      <c r="L22" s="15"/>
      <c r="M22" s="15"/>
      <c r="N22" s="8"/>
      <c r="O22" s="9"/>
      <c r="P22" s="10"/>
    </row>
    <row r="23" spans="1:16">
      <c r="A23" s="1">
        <v>46333</v>
      </c>
      <c r="B23" t="s">
        <v>10</v>
      </c>
      <c r="C23" t="s">
        <v>33</v>
      </c>
      <c r="D23">
        <v>11</v>
      </c>
      <c r="E23" s="15">
        <f>_xlfn.XLOOKUP(B23,Pricelist!$A$2:$A$100,Pricelist!$B$2:$B$100,0)</f>
        <v>2500</v>
      </c>
      <c r="F23" s="15">
        <f t="shared" si="2"/>
        <v>27500</v>
      </c>
      <c r="G23" t="str">
        <f t="shared" si="3"/>
        <v>Good</v>
      </c>
      <c r="H23" s="15">
        <f>_xlfn.XLOOKUP(B23,Pricelist!$A$2:$A$21,Pricelist!$C$2:$C$21, 0)</f>
        <v>2000</v>
      </c>
      <c r="I23" s="15">
        <f t="shared" si="0"/>
        <v>5500</v>
      </c>
      <c r="J23" s="4">
        <f t="shared" si="1"/>
        <v>89</v>
      </c>
      <c r="K23" s="15"/>
      <c r="L23" s="15"/>
      <c r="M23" s="15"/>
      <c r="N23" s="8"/>
      <c r="O23" s="9"/>
      <c r="P23" s="10"/>
    </row>
    <row r="24" spans="1:16">
      <c r="A24" s="1">
        <v>46363</v>
      </c>
      <c r="B24" t="s">
        <v>6</v>
      </c>
      <c r="C24" t="s">
        <v>34</v>
      </c>
      <c r="D24">
        <v>64</v>
      </c>
      <c r="E24" s="15">
        <f>_xlfn.XLOOKUP(B24,Pricelist!$A$2:$A$100,Pricelist!$B$2:$B$100,0)</f>
        <v>500</v>
      </c>
      <c r="F24" s="15">
        <f t="shared" si="2"/>
        <v>32000</v>
      </c>
      <c r="G24" t="str">
        <f t="shared" si="3"/>
        <v>Good</v>
      </c>
      <c r="H24" s="15">
        <f>_xlfn.XLOOKUP(B24,Pricelist!$A$2:$A$21,Pricelist!$C$2:$C$21, 0)</f>
        <v>300</v>
      </c>
      <c r="I24" s="15">
        <f t="shared" si="0"/>
        <v>12800</v>
      </c>
      <c r="J24" s="4">
        <f t="shared" si="1"/>
        <v>36</v>
      </c>
      <c r="K24" s="15"/>
      <c r="L24" s="15"/>
      <c r="M24" s="15"/>
      <c r="N24" s="8"/>
      <c r="O24" s="9"/>
      <c r="P24" s="10"/>
    </row>
    <row r="25" spans="1:16">
      <c r="A25" s="1">
        <v>46363</v>
      </c>
      <c r="B25" t="s">
        <v>12</v>
      </c>
      <c r="C25" t="s">
        <v>33</v>
      </c>
      <c r="D25">
        <v>34</v>
      </c>
      <c r="E25" s="15">
        <f>_xlfn.XLOOKUP(B25,Pricelist!$A$2:$A$100,Pricelist!$B$2:$B$100,0)</f>
        <v>2000</v>
      </c>
      <c r="F25" s="15">
        <f t="shared" si="2"/>
        <v>68000</v>
      </c>
      <c r="G25" t="str">
        <f t="shared" si="3"/>
        <v>Good</v>
      </c>
      <c r="H25" s="15">
        <f>_xlfn.XLOOKUP(B25,Pricelist!$A$2:$A$21,Pricelist!$C$2:$C$21, 0)</f>
        <v>1800</v>
      </c>
      <c r="I25" s="15">
        <f t="shared" si="0"/>
        <v>6800</v>
      </c>
      <c r="J25" s="4">
        <f t="shared" si="1"/>
        <v>66</v>
      </c>
      <c r="K25" s="15"/>
      <c r="L25" s="15"/>
      <c r="M25" s="15"/>
      <c r="N25" s="8"/>
      <c r="O25" s="9"/>
      <c r="P25" s="10"/>
    </row>
    <row r="26" spans="1:16">
      <c r="A26" t="s">
        <v>38</v>
      </c>
      <c r="B26" t="s">
        <v>5</v>
      </c>
      <c r="C26" t="s">
        <v>33</v>
      </c>
      <c r="D26">
        <v>23</v>
      </c>
      <c r="E26" s="15">
        <f>_xlfn.XLOOKUP(B26,Pricelist!$A$2:$A$100,Pricelist!$B$2:$B$100,0)</f>
        <v>1300</v>
      </c>
      <c r="F26" s="15">
        <f t="shared" si="2"/>
        <v>29900</v>
      </c>
      <c r="G26" t="str">
        <f t="shared" si="3"/>
        <v>Good</v>
      </c>
      <c r="H26" s="15">
        <f>_xlfn.XLOOKUP(B26,Pricelist!$A$2:$A$21,Pricelist!$C$2:$C$21, 0)</f>
        <v>800</v>
      </c>
      <c r="I26" s="15">
        <f t="shared" si="0"/>
        <v>11500</v>
      </c>
      <c r="J26" s="4">
        <f t="shared" si="1"/>
        <v>77</v>
      </c>
      <c r="K26" s="15"/>
      <c r="L26" s="15"/>
      <c r="M26" s="15"/>
      <c r="N26" s="8"/>
      <c r="O26" s="9"/>
      <c r="P26" s="10"/>
    </row>
    <row r="27" spans="1:16">
      <c r="A27" t="s">
        <v>39</v>
      </c>
      <c r="B27" t="s">
        <v>6</v>
      </c>
      <c r="C27" t="s">
        <v>34</v>
      </c>
      <c r="D27">
        <v>89</v>
      </c>
      <c r="E27" s="15">
        <f>_xlfn.XLOOKUP(B27,Pricelist!$A$2:$A$100,Pricelist!$B$2:$B$100,0)</f>
        <v>500</v>
      </c>
      <c r="F27" s="15">
        <f t="shared" si="2"/>
        <v>44500</v>
      </c>
      <c r="G27" t="str">
        <f t="shared" si="3"/>
        <v>Good</v>
      </c>
      <c r="H27" s="15">
        <f>_xlfn.XLOOKUP(B27,Pricelist!$A$2:$A$21,Pricelist!$C$2:$C$21, 0)</f>
        <v>300</v>
      </c>
      <c r="I27" s="15">
        <f t="shared" si="0"/>
        <v>17800</v>
      </c>
      <c r="J27" s="4">
        <f t="shared" si="1"/>
        <v>11</v>
      </c>
      <c r="K27" s="15"/>
      <c r="L27" s="15"/>
      <c r="M27" s="15"/>
      <c r="N27" s="8"/>
      <c r="O27" s="9"/>
      <c r="P27" s="10"/>
    </row>
    <row r="28" spans="1:16">
      <c r="A28" s="1" t="s">
        <v>40</v>
      </c>
      <c r="B28" t="s">
        <v>13</v>
      </c>
      <c r="C28" t="s">
        <v>36</v>
      </c>
      <c r="D28">
        <v>45</v>
      </c>
      <c r="E28" s="15">
        <f>_xlfn.XLOOKUP(B28,Pricelist!$A$2:$A$100,Pricelist!$B$2:$B$100,0)</f>
        <v>30000</v>
      </c>
      <c r="F28" s="15">
        <f xml:space="preserve">  D28*E28</f>
        <v>1350000</v>
      </c>
      <c r="G28" t="str">
        <f t="shared" si="3"/>
        <v>Good</v>
      </c>
      <c r="H28" s="15">
        <f>_xlfn.XLOOKUP(B28,Pricelist!$A$2:$A$21,Pricelist!$C$2:$C$21, 0)</f>
        <v>25000</v>
      </c>
      <c r="I28" s="15">
        <f t="shared" si="0"/>
        <v>225000</v>
      </c>
      <c r="J28" s="4">
        <f t="shared" si="1"/>
        <v>55</v>
      </c>
      <c r="K28" s="15"/>
      <c r="L28" s="15"/>
      <c r="M28" s="15"/>
      <c r="N28" s="8"/>
      <c r="O28" s="9"/>
      <c r="P28" s="10"/>
    </row>
    <row r="29" spans="1:16">
      <c r="A29" s="1" t="s">
        <v>40</v>
      </c>
      <c r="B29" t="s">
        <v>10</v>
      </c>
      <c r="C29" t="s">
        <v>33</v>
      </c>
      <c r="D29">
        <v>56</v>
      </c>
      <c r="E29" s="15">
        <f>_xlfn.XLOOKUP(B29,Pricelist!$A$2:$A$100,Pricelist!$B$2:$B$100,0)</f>
        <v>2500</v>
      </c>
      <c r="F29" s="15">
        <f xml:space="preserve">  D29*E29</f>
        <v>140000</v>
      </c>
      <c r="G29" s="4" t="str">
        <f>IF(F29&lt;20000,"Low","Good")</f>
        <v>Good</v>
      </c>
      <c r="H29" s="15">
        <f>_xlfn.XLOOKUP(B29,Pricelist!$A$2:$A$21,Pricelist!$C$2:$C$21, 0)</f>
        <v>2000</v>
      </c>
      <c r="I29" s="15">
        <f t="shared" si="0"/>
        <v>28000</v>
      </c>
      <c r="J29" s="4">
        <f t="shared" si="1"/>
        <v>44</v>
      </c>
      <c r="K29" s="15"/>
      <c r="L29" s="15"/>
      <c r="M29" s="15"/>
      <c r="N29" s="11"/>
      <c r="O29" s="12"/>
      <c r="P29" s="13"/>
    </row>
    <row r="30" spans="1:16">
      <c r="A30" s="1" t="s">
        <v>41</v>
      </c>
      <c r="B30" t="s">
        <v>14</v>
      </c>
      <c r="C30" t="s">
        <v>34</v>
      </c>
      <c r="D30">
        <v>15</v>
      </c>
      <c r="E30" s="15">
        <f>_xlfn.XLOOKUP(B30,Pricelist!$A$2:$A$100,Pricelist!$B$2:$B$100,0)</f>
        <v>1700</v>
      </c>
      <c r="F30" s="15">
        <f xml:space="preserve">  D30*E30</f>
        <v>25500</v>
      </c>
      <c r="G30" s="4" t="str">
        <f>IF(F30&lt;20000,"Low","Good")</f>
        <v>Good</v>
      </c>
      <c r="H30" s="15">
        <f>_xlfn.XLOOKUP(B30,Pricelist!$A$2:$A$21,Pricelist!$C$2:$C$21, 0)</f>
        <v>1500</v>
      </c>
      <c r="I30" s="15">
        <f t="shared" si="0"/>
        <v>3000</v>
      </c>
      <c r="J30" s="4">
        <f t="shared" si="1"/>
        <v>85</v>
      </c>
      <c r="K30" s="15"/>
      <c r="L30" s="15"/>
      <c r="M30" s="15"/>
    </row>
    <row r="31" spans="1:16">
      <c r="A31" s="1" t="s">
        <v>42</v>
      </c>
      <c r="B31" t="s">
        <v>19</v>
      </c>
      <c r="C31" t="s">
        <v>34</v>
      </c>
      <c r="D31">
        <v>8</v>
      </c>
      <c r="E31" s="15">
        <f>_xlfn.XLOOKUP(B31,Pricelist!$A$2:$A$100,Pricelist!$B$2:$B$100,0)</f>
        <v>1200</v>
      </c>
      <c r="F31" s="15">
        <f xml:space="preserve">  D31*E31</f>
        <v>9600</v>
      </c>
      <c r="G31" s="4" t="str">
        <f>IF(F31&lt;20000,"Low","Good")</f>
        <v>Low</v>
      </c>
      <c r="H31" s="15">
        <f>_xlfn.XLOOKUP(B31,Pricelist!$A$2:$A$21,Pricelist!$C$2:$C$21, 0)</f>
        <v>1000</v>
      </c>
      <c r="I31" s="15">
        <f t="shared" si="0"/>
        <v>1600</v>
      </c>
      <c r="J31" s="4">
        <f t="shared" si="1"/>
        <v>92</v>
      </c>
      <c r="K31" s="15"/>
      <c r="L31" s="15"/>
      <c r="M31" s="15"/>
    </row>
    <row r="32" spans="1:16">
      <c r="A32" s="1" t="s">
        <v>42</v>
      </c>
      <c r="B32" t="s">
        <v>18</v>
      </c>
      <c r="C32" t="s">
        <v>33</v>
      </c>
      <c r="D32">
        <v>100</v>
      </c>
      <c r="E32" s="15">
        <f>_xlfn.XLOOKUP(B32,Pricelist!$A$2:$A$100,Pricelist!$B$2:$B$100,0)</f>
        <v>200</v>
      </c>
      <c r="F32" s="15">
        <f xml:space="preserve">  D32*E32</f>
        <v>20000</v>
      </c>
      <c r="G32" s="4" t="str">
        <f>IF(F32&lt;20000,"Low","Good")</f>
        <v>Good</v>
      </c>
      <c r="H32" s="15">
        <f>_xlfn.XLOOKUP(B32,Pricelist!$A$2:$A$21,Pricelist!$C$2:$C$21, 0)</f>
        <v>150</v>
      </c>
      <c r="I32" s="15">
        <f t="shared" si="0"/>
        <v>5000</v>
      </c>
      <c r="J32" s="4">
        <f t="shared" si="1"/>
        <v>0</v>
      </c>
      <c r="K32" s="15"/>
      <c r="L32" s="15"/>
      <c r="M32" s="15"/>
    </row>
    <row r="33" spans="1:13">
      <c r="A33" s="1" t="s">
        <v>43</v>
      </c>
      <c r="B33" t="s">
        <v>16</v>
      </c>
      <c r="C33" t="s">
        <v>34</v>
      </c>
      <c r="D33">
        <v>150</v>
      </c>
      <c r="E33" s="15">
        <f>_xlfn.XLOOKUP(B33,Pricelist!$A$2:$A$100,Pricelist!$B$2:$B$100,0)</f>
        <v>300</v>
      </c>
      <c r="F33" s="15">
        <f xml:space="preserve">  D33*E33</f>
        <v>45000</v>
      </c>
      <c r="G33" s="4" t="str">
        <f>IF(F33&lt;20000,"Low","Good")</f>
        <v>Good</v>
      </c>
      <c r="H33" s="15">
        <f>_xlfn.XLOOKUP(B33,Pricelist!$A$2:$A$21,Pricelist!$C$2:$C$21, 0)</f>
        <v>250</v>
      </c>
      <c r="I33" s="15">
        <f t="shared" si="0"/>
        <v>7500</v>
      </c>
      <c r="J33" s="4">
        <f t="shared" si="1"/>
        <v>-50</v>
      </c>
      <c r="K33" s="15"/>
      <c r="L33" s="15"/>
      <c r="M33" s="15"/>
    </row>
    <row r="34" spans="1:13" hidden="1">
      <c r="A34" s="1" t="s">
        <v>44</v>
      </c>
      <c r="B34" t="s">
        <v>21</v>
      </c>
      <c r="C34" t="s">
        <v>33</v>
      </c>
      <c r="D34">
        <v>67</v>
      </c>
      <c r="E34" s="15">
        <f>_xlfn.XLOOKUP(B34,Pricelist!$A$2:$A$100,Pricelist!$B$2:$B$100,0)</f>
        <v>245</v>
      </c>
      <c r="F34" s="15">
        <f xml:space="preserve">  D34*E34</f>
        <v>16415</v>
      </c>
      <c r="G34" s="4" t="str">
        <f>IF(F34&lt;20000,"Low","Good")</f>
        <v>Low</v>
      </c>
      <c r="H34">
        <f>_xlfn.XLOOKUP(B34,Pricelist!$A$2:$A$21,Pricelist!$C$2:$C$21, 0)</f>
        <v>200</v>
      </c>
      <c r="I34" s="15">
        <f t="shared" si="0"/>
        <v>3015</v>
      </c>
      <c r="J34" s="15">
        <f t="shared" si="1"/>
        <v>33</v>
      </c>
      <c r="K34" s="15"/>
      <c r="L34" s="15"/>
      <c r="M34" s="15"/>
    </row>
    <row r="35" spans="1:13">
      <c r="A35" s="1" t="s">
        <v>44</v>
      </c>
      <c r="B35" t="s">
        <v>8</v>
      </c>
      <c r="C35" t="s">
        <v>34</v>
      </c>
      <c r="D35">
        <v>15</v>
      </c>
      <c r="E35" s="15">
        <f>_xlfn.XLOOKUP(B35,Pricelist!$A$2:$A$100,Pricelist!$B$2:$B$100,0)</f>
        <v>400</v>
      </c>
      <c r="F35" s="15">
        <f xml:space="preserve">  D35*E35</f>
        <v>6000</v>
      </c>
      <c r="G35" s="4" t="str">
        <f>IF(F35&lt;20000,"Low","Good")</f>
        <v>Low</v>
      </c>
      <c r="H35" s="15">
        <f>_xlfn.XLOOKUP(B35,Pricelist!$A$2:$A$21,Pricelist!$C$2:$C$21, 0)</f>
        <v>300</v>
      </c>
      <c r="I35" s="15">
        <f>(E35-H35)*D35</f>
        <v>1500</v>
      </c>
      <c r="J35" s="4">
        <f>100-D35</f>
        <v>85</v>
      </c>
    </row>
    <row r="36" spans="1:13">
      <c r="A36" s="1" t="s">
        <v>44</v>
      </c>
      <c r="B36" t="s">
        <v>19</v>
      </c>
      <c r="C36" t="s">
        <v>34</v>
      </c>
      <c r="D36">
        <v>3</v>
      </c>
      <c r="E36" s="15">
        <f>_xlfn.XLOOKUP(B36,Pricelist!$A$2:$A$100,Pricelist!$B$2:$B$100,0)</f>
        <v>1200</v>
      </c>
      <c r="F36" s="15">
        <f xml:space="preserve">  D36*E36</f>
        <v>3600</v>
      </c>
      <c r="G36" s="4" t="str">
        <f>IF(F36&lt;20000,"Low","Good")</f>
        <v>Low</v>
      </c>
      <c r="H36" s="15">
        <f>_xlfn.XLOOKUP(B36,Pricelist!$A$2:$A$21,Pricelist!$C$2:$C$21, 0)</f>
        <v>1000</v>
      </c>
      <c r="I36" s="15">
        <f>(E36-H36)*D36</f>
        <v>600</v>
      </c>
      <c r="J36" s="4">
        <f>100-D36</f>
        <v>97</v>
      </c>
    </row>
    <row r="57" spans="1:10" hidden="1">
      <c r="A57" s="19" t="s">
        <v>45</v>
      </c>
      <c r="H57"/>
      <c r="J57"/>
    </row>
  </sheetData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CEC51-8FC1-45B0-8FDE-A7A103E0DC5E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991C2-BF11-4C90-A70E-964B26F48EAE}">
  <dimension ref="A1:AO10"/>
  <sheetViews>
    <sheetView workbookViewId="0">
      <selection activeCell="F3" sqref="F3"/>
    </sheetView>
  </sheetViews>
  <sheetFormatPr defaultRowHeight="15"/>
  <cols>
    <col min="1" max="1" width="12.28515625" bestFit="1" customWidth="1"/>
    <col min="2" max="2" width="17.42578125" style="4" bestFit="1" customWidth="1"/>
    <col min="3" max="3" width="17" bestFit="1" customWidth="1"/>
    <col min="4" max="4" width="15.42578125" bestFit="1" customWidth="1"/>
    <col min="5" max="5" width="17" bestFit="1" customWidth="1"/>
    <col min="6" max="6" width="15.42578125" bestFit="1" customWidth="1"/>
    <col min="7" max="7" width="17" bestFit="1" customWidth="1"/>
    <col min="8" max="8" width="15.42578125" bestFit="1" customWidth="1"/>
    <col min="9" max="9" width="17" bestFit="1" customWidth="1"/>
    <col min="10" max="10" width="15.42578125" bestFit="1" customWidth="1"/>
    <col min="11" max="11" width="17" bestFit="1" customWidth="1"/>
    <col min="12" max="12" width="15.42578125" bestFit="1" customWidth="1"/>
    <col min="13" max="13" width="17" bestFit="1" customWidth="1"/>
    <col min="14" max="14" width="15.42578125" bestFit="1" customWidth="1"/>
    <col min="15" max="15" width="17" bestFit="1" customWidth="1"/>
    <col min="16" max="16" width="15.42578125" bestFit="1" customWidth="1"/>
    <col min="17" max="17" width="17" bestFit="1" customWidth="1"/>
    <col min="18" max="18" width="15.42578125" bestFit="1" customWidth="1"/>
    <col min="19" max="19" width="17" bestFit="1" customWidth="1"/>
    <col min="20" max="20" width="15.42578125" bestFit="1" customWidth="1"/>
    <col min="21" max="21" width="17" bestFit="1" customWidth="1"/>
    <col min="22" max="22" width="15.42578125" bestFit="1" customWidth="1"/>
    <col min="23" max="23" width="17" bestFit="1" customWidth="1"/>
    <col min="24" max="24" width="15.42578125" bestFit="1" customWidth="1"/>
    <col min="25" max="25" width="17" bestFit="1" customWidth="1"/>
    <col min="26" max="26" width="15.42578125" bestFit="1" customWidth="1"/>
    <col min="27" max="27" width="17" bestFit="1" customWidth="1"/>
    <col min="28" max="28" width="15.42578125" bestFit="1" customWidth="1"/>
    <col min="29" max="29" width="17" bestFit="1" customWidth="1"/>
    <col min="30" max="30" width="15.42578125" bestFit="1" customWidth="1"/>
    <col min="31" max="31" width="17" bestFit="1" customWidth="1"/>
    <col min="32" max="32" width="15.42578125" bestFit="1" customWidth="1"/>
    <col min="33" max="33" width="17" bestFit="1" customWidth="1"/>
    <col min="34" max="34" width="15.42578125" bestFit="1" customWidth="1"/>
    <col min="35" max="35" width="17" bestFit="1" customWidth="1"/>
    <col min="36" max="36" width="15.42578125" bestFit="1" customWidth="1"/>
    <col min="37" max="37" width="17" bestFit="1" customWidth="1"/>
    <col min="38" max="38" width="15.42578125" bestFit="1" customWidth="1"/>
    <col min="39" max="39" width="17" bestFit="1" customWidth="1"/>
    <col min="40" max="40" width="20.28515625" bestFit="1" customWidth="1"/>
    <col min="41" max="41" width="21.85546875" bestFit="1" customWidth="1"/>
    <col min="42" max="42" width="15.42578125" bestFit="1" customWidth="1"/>
    <col min="43" max="43" width="17" bestFit="1" customWidth="1"/>
    <col min="44" max="44" width="20.28515625" bestFit="1" customWidth="1"/>
    <col min="45" max="45" width="21.85546875" bestFit="1" customWidth="1"/>
    <col min="46" max="46" width="17" bestFit="1" customWidth="1"/>
    <col min="47" max="47" width="15.42578125" bestFit="1" customWidth="1"/>
    <col min="48" max="48" width="18.140625" bestFit="1" customWidth="1"/>
    <col min="49" max="49" width="17" bestFit="1" customWidth="1"/>
    <col min="50" max="50" width="15.42578125" bestFit="1" customWidth="1"/>
    <col min="51" max="51" width="18.140625" bestFit="1" customWidth="1"/>
    <col min="52" max="52" width="17" bestFit="1" customWidth="1"/>
    <col min="53" max="53" width="15.42578125" bestFit="1" customWidth="1"/>
    <col min="54" max="54" width="18.140625" bestFit="1" customWidth="1"/>
    <col min="55" max="55" width="17" bestFit="1" customWidth="1"/>
    <col min="56" max="56" width="15.42578125" bestFit="1" customWidth="1"/>
    <col min="57" max="57" width="18.140625" bestFit="1" customWidth="1"/>
    <col min="58" max="58" width="17" bestFit="1" customWidth="1"/>
    <col min="59" max="59" width="15.42578125" bestFit="1" customWidth="1"/>
    <col min="60" max="60" width="18.140625" bestFit="1" customWidth="1"/>
    <col min="61" max="61" width="17" bestFit="1" customWidth="1"/>
    <col min="62" max="62" width="15.42578125" bestFit="1" customWidth="1"/>
    <col min="63" max="63" width="18.140625" bestFit="1" customWidth="1"/>
    <col min="64" max="64" width="17" bestFit="1" customWidth="1"/>
    <col min="65" max="65" width="20.28515625" bestFit="1" customWidth="1"/>
    <col min="66" max="66" width="23" bestFit="1" customWidth="1"/>
    <col min="67" max="67" width="21.85546875" bestFit="1" customWidth="1"/>
  </cols>
  <sheetData>
    <row r="1" spans="1:41">
      <c r="A1" s="14" t="s">
        <v>29</v>
      </c>
      <c r="B1" t="s">
        <v>46</v>
      </c>
    </row>
    <row r="2" spans="1:41">
      <c r="B2"/>
    </row>
    <row r="3" spans="1:41">
      <c r="B3" s="17" t="s">
        <v>24</v>
      </c>
      <c r="C3" s="14" t="s">
        <v>47</v>
      </c>
    </row>
    <row r="4" spans="1:41">
      <c r="B4" t="s">
        <v>48</v>
      </c>
      <c r="D4" s="4" t="s">
        <v>49</v>
      </c>
      <c r="E4" s="4"/>
      <c r="F4" s="1">
        <v>46088</v>
      </c>
      <c r="H4" s="1">
        <v>46119</v>
      </c>
      <c r="J4" s="1">
        <v>46149</v>
      </c>
      <c r="L4" s="1">
        <v>46180</v>
      </c>
      <c r="N4" s="1">
        <v>46210</v>
      </c>
      <c r="P4" s="1">
        <v>46241</v>
      </c>
      <c r="R4" s="1">
        <v>46272</v>
      </c>
      <c r="T4" s="1">
        <v>46302</v>
      </c>
      <c r="V4" s="1">
        <v>46333</v>
      </c>
      <c r="X4" s="1">
        <v>46363</v>
      </c>
      <c r="Z4" t="s">
        <v>38</v>
      </c>
      <c r="AB4" t="s">
        <v>39</v>
      </c>
      <c r="AD4" t="s">
        <v>40</v>
      </c>
      <c r="AF4" t="s">
        <v>41</v>
      </c>
      <c r="AH4" t="s">
        <v>42</v>
      </c>
      <c r="AJ4" t="s">
        <v>43</v>
      </c>
      <c r="AL4" t="s">
        <v>44</v>
      </c>
      <c r="AN4" t="s">
        <v>50</v>
      </c>
      <c r="AO4" t="s">
        <v>51</v>
      </c>
    </row>
    <row r="5" spans="1:41">
      <c r="A5" s="14" t="s">
        <v>25</v>
      </c>
      <c r="B5" t="s">
        <v>52</v>
      </c>
      <c r="C5" t="s">
        <v>53</v>
      </c>
      <c r="D5" t="s">
        <v>52</v>
      </c>
      <c r="E5" t="s">
        <v>53</v>
      </c>
      <c r="F5" t="s">
        <v>52</v>
      </c>
      <c r="G5" t="s">
        <v>53</v>
      </c>
      <c r="H5" t="s">
        <v>52</v>
      </c>
      <c r="I5" t="s">
        <v>53</v>
      </c>
      <c r="J5" t="s">
        <v>52</v>
      </c>
      <c r="K5" t="s">
        <v>53</v>
      </c>
      <c r="L5" t="s">
        <v>52</v>
      </c>
      <c r="M5" t="s">
        <v>53</v>
      </c>
      <c r="N5" t="s">
        <v>52</v>
      </c>
      <c r="O5" t="s">
        <v>53</v>
      </c>
      <c r="P5" t="s">
        <v>52</v>
      </c>
      <c r="Q5" t="s">
        <v>53</v>
      </c>
      <c r="R5" t="s">
        <v>52</v>
      </c>
      <c r="S5" t="s">
        <v>53</v>
      </c>
      <c r="T5" t="s">
        <v>52</v>
      </c>
      <c r="U5" t="s">
        <v>53</v>
      </c>
      <c r="V5" t="s">
        <v>52</v>
      </c>
      <c r="W5" t="s">
        <v>53</v>
      </c>
      <c r="X5" t="s">
        <v>52</v>
      </c>
      <c r="Y5" t="s">
        <v>53</v>
      </c>
      <c r="Z5" t="s">
        <v>52</v>
      </c>
      <c r="AA5" t="s">
        <v>53</v>
      </c>
      <c r="AB5" t="s">
        <v>52</v>
      </c>
      <c r="AC5" t="s">
        <v>53</v>
      </c>
      <c r="AD5" t="s">
        <v>52</v>
      </c>
      <c r="AE5" t="s">
        <v>53</v>
      </c>
      <c r="AF5" t="s">
        <v>52</v>
      </c>
      <c r="AG5" t="s">
        <v>53</v>
      </c>
      <c r="AH5" t="s">
        <v>52</v>
      </c>
      <c r="AI5" t="s">
        <v>53</v>
      </c>
      <c r="AJ5" t="s">
        <v>52</v>
      </c>
      <c r="AK5" t="s">
        <v>53</v>
      </c>
      <c r="AL5" t="s">
        <v>52</v>
      </c>
      <c r="AM5" t="s">
        <v>53</v>
      </c>
    </row>
    <row r="6" spans="1:41">
      <c r="A6" t="s">
        <v>34</v>
      </c>
      <c r="B6" s="15">
        <v>14000</v>
      </c>
      <c r="C6" s="15">
        <v>2000</v>
      </c>
      <c r="D6" s="15">
        <v>10000</v>
      </c>
      <c r="E6" s="15">
        <v>2500</v>
      </c>
      <c r="F6" s="15">
        <v>17500</v>
      </c>
      <c r="G6" s="15">
        <v>7000</v>
      </c>
      <c r="H6" s="15">
        <v>16000</v>
      </c>
      <c r="I6" s="15">
        <v>4000</v>
      </c>
      <c r="J6" s="15">
        <v>19600</v>
      </c>
      <c r="K6" s="15">
        <v>2800</v>
      </c>
      <c r="L6" s="15">
        <v>40000</v>
      </c>
      <c r="M6" s="15">
        <v>10000</v>
      </c>
      <c r="N6" s="15"/>
      <c r="O6" s="15"/>
      <c r="P6" s="15">
        <v>30500</v>
      </c>
      <c r="Q6" s="15">
        <v>9500</v>
      </c>
      <c r="R6" s="15">
        <v>3000</v>
      </c>
      <c r="S6" s="15">
        <v>500</v>
      </c>
      <c r="T6" s="15">
        <v>4900</v>
      </c>
      <c r="U6" s="15">
        <v>700</v>
      </c>
      <c r="V6" s="15">
        <v>18000</v>
      </c>
      <c r="W6" s="15">
        <v>4500</v>
      </c>
      <c r="X6" s="15">
        <v>32000</v>
      </c>
      <c r="Y6" s="15">
        <v>12800</v>
      </c>
      <c r="Z6" s="15"/>
      <c r="AA6" s="15"/>
      <c r="AB6" s="15">
        <v>44500</v>
      </c>
      <c r="AC6" s="15">
        <v>17800</v>
      </c>
      <c r="AD6" s="15"/>
      <c r="AE6" s="15"/>
      <c r="AF6" s="15">
        <v>25500</v>
      </c>
      <c r="AG6" s="15">
        <v>3000</v>
      </c>
      <c r="AH6" s="15">
        <v>9600</v>
      </c>
      <c r="AI6" s="15">
        <v>1600</v>
      </c>
      <c r="AJ6" s="15">
        <v>45000</v>
      </c>
      <c r="AK6" s="15">
        <v>7500</v>
      </c>
      <c r="AL6" s="15"/>
      <c r="AM6" s="15"/>
      <c r="AN6" s="15">
        <v>330100</v>
      </c>
      <c r="AO6" s="15">
        <v>86200</v>
      </c>
    </row>
    <row r="7" spans="1:41">
      <c r="A7" t="s">
        <v>33</v>
      </c>
      <c r="B7" s="15">
        <v>60000</v>
      </c>
      <c r="C7" s="15">
        <v>6000</v>
      </c>
      <c r="D7" s="15">
        <v>52000</v>
      </c>
      <c r="E7" s="15">
        <v>20000</v>
      </c>
      <c r="F7" s="15">
        <v>71500</v>
      </c>
      <c r="G7" s="15">
        <v>27500</v>
      </c>
      <c r="H7" s="15">
        <v>55000</v>
      </c>
      <c r="I7" s="15">
        <v>11000</v>
      </c>
      <c r="J7" s="15">
        <v>90000</v>
      </c>
      <c r="K7" s="15">
        <v>9000</v>
      </c>
      <c r="L7" s="15">
        <v>125000</v>
      </c>
      <c r="M7" s="15">
        <v>25000</v>
      </c>
      <c r="N7" s="15"/>
      <c r="O7" s="15"/>
      <c r="P7" s="15"/>
      <c r="Q7" s="15"/>
      <c r="R7" s="15">
        <v>50000</v>
      </c>
      <c r="S7" s="15">
        <v>10000</v>
      </c>
      <c r="T7" s="15"/>
      <c r="U7" s="15"/>
      <c r="V7" s="15">
        <v>27500</v>
      </c>
      <c r="W7" s="15">
        <v>5500</v>
      </c>
      <c r="X7" s="15">
        <v>68000</v>
      </c>
      <c r="Y7" s="15">
        <v>6800</v>
      </c>
      <c r="Z7" s="15">
        <v>29900</v>
      </c>
      <c r="AA7" s="15">
        <v>11500</v>
      </c>
      <c r="AB7" s="15"/>
      <c r="AC7" s="15"/>
      <c r="AD7" s="15">
        <v>140000</v>
      </c>
      <c r="AE7" s="15">
        <v>28000</v>
      </c>
      <c r="AF7" s="15"/>
      <c r="AG7" s="15"/>
      <c r="AH7" s="15">
        <v>20000</v>
      </c>
      <c r="AI7" s="15">
        <v>5000</v>
      </c>
      <c r="AJ7" s="15"/>
      <c r="AK7" s="15"/>
      <c r="AL7" s="15">
        <v>16415</v>
      </c>
      <c r="AM7" s="15">
        <v>3015</v>
      </c>
      <c r="AN7" s="15">
        <v>805315</v>
      </c>
      <c r="AO7" s="15">
        <v>168315</v>
      </c>
    </row>
    <row r="8" spans="1:41">
      <c r="A8" t="s">
        <v>36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>
        <v>165000</v>
      </c>
      <c r="O8" s="15">
        <v>28000</v>
      </c>
      <c r="P8" s="15"/>
      <c r="Q8" s="15"/>
      <c r="R8" s="15"/>
      <c r="S8" s="15"/>
      <c r="T8" s="15">
        <v>30000</v>
      </c>
      <c r="U8" s="15">
        <v>6000</v>
      </c>
      <c r="V8" s="15"/>
      <c r="W8" s="15"/>
      <c r="X8" s="15"/>
      <c r="Y8" s="15"/>
      <c r="Z8" s="15"/>
      <c r="AA8" s="15"/>
      <c r="AB8" s="15"/>
      <c r="AC8" s="15"/>
      <c r="AD8" s="15">
        <v>1350000</v>
      </c>
      <c r="AE8" s="15">
        <v>225000</v>
      </c>
      <c r="AF8" s="15"/>
      <c r="AG8" s="15"/>
      <c r="AH8" s="15"/>
      <c r="AI8" s="15"/>
      <c r="AJ8" s="15"/>
      <c r="AK8" s="15"/>
      <c r="AL8" s="15"/>
      <c r="AM8" s="15"/>
      <c r="AN8" s="15">
        <v>1545000</v>
      </c>
      <c r="AO8" s="15">
        <v>259000</v>
      </c>
    </row>
    <row r="9" spans="1:41">
      <c r="A9" t="s">
        <v>54</v>
      </c>
      <c r="B9" s="15">
        <v>74000</v>
      </c>
      <c r="C9" s="15">
        <v>8000</v>
      </c>
      <c r="D9" s="15">
        <v>62000</v>
      </c>
      <c r="E9" s="15">
        <v>22500</v>
      </c>
      <c r="F9" s="15">
        <v>89000</v>
      </c>
      <c r="G9" s="15">
        <v>34500</v>
      </c>
      <c r="H9" s="15">
        <v>71000</v>
      </c>
      <c r="I9" s="15">
        <v>15000</v>
      </c>
      <c r="J9" s="15">
        <v>109600</v>
      </c>
      <c r="K9" s="15">
        <v>11800</v>
      </c>
      <c r="L9" s="15">
        <v>165000</v>
      </c>
      <c r="M9" s="15">
        <v>35000</v>
      </c>
      <c r="N9" s="15">
        <v>165000</v>
      </c>
      <c r="O9" s="15">
        <v>28000</v>
      </c>
      <c r="P9" s="15">
        <v>30500</v>
      </c>
      <c r="Q9" s="15">
        <v>9500</v>
      </c>
      <c r="R9" s="15">
        <v>53000</v>
      </c>
      <c r="S9" s="15">
        <v>10500</v>
      </c>
      <c r="T9" s="15">
        <v>34900</v>
      </c>
      <c r="U9" s="15">
        <v>6700</v>
      </c>
      <c r="V9" s="15">
        <v>45500</v>
      </c>
      <c r="W9" s="15">
        <v>10000</v>
      </c>
      <c r="X9" s="15">
        <v>100000</v>
      </c>
      <c r="Y9" s="15">
        <v>19600</v>
      </c>
      <c r="Z9" s="15">
        <v>29900</v>
      </c>
      <c r="AA9" s="15">
        <v>11500</v>
      </c>
      <c r="AB9" s="15">
        <v>44500</v>
      </c>
      <c r="AC9" s="15">
        <v>17800</v>
      </c>
      <c r="AD9" s="15">
        <v>1490000</v>
      </c>
      <c r="AE9" s="15">
        <v>253000</v>
      </c>
      <c r="AF9" s="15">
        <v>25500</v>
      </c>
      <c r="AG9" s="15">
        <v>3000</v>
      </c>
      <c r="AH9" s="15">
        <v>29600</v>
      </c>
      <c r="AI9" s="15">
        <v>6600</v>
      </c>
      <c r="AJ9" s="15">
        <v>45000</v>
      </c>
      <c r="AK9" s="15">
        <v>7500</v>
      </c>
      <c r="AL9" s="15">
        <v>16415</v>
      </c>
      <c r="AM9" s="15">
        <v>3015</v>
      </c>
      <c r="AN9" s="15">
        <v>2680415</v>
      </c>
      <c r="AO9" s="15">
        <v>513515</v>
      </c>
    </row>
    <row r="10" spans="1:41">
      <c r="B10"/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Taiwo Oriyomi</dc:creator>
  <cp:keywords/>
  <dc:description/>
  <cp:lastModifiedBy/>
  <cp:revision/>
  <dcterms:created xsi:type="dcterms:W3CDTF">2026-03-14T18:07:59Z</dcterms:created>
  <dcterms:modified xsi:type="dcterms:W3CDTF">2026-03-18T10:26:20Z</dcterms:modified>
  <cp:category/>
  <cp:contentStatus/>
</cp:coreProperties>
</file>